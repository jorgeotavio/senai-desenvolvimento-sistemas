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/>
  <mc:AlternateContent xmlns:mc="http://schemas.openxmlformats.org/markup-compatibility/2006">
    <mc:Choice Requires="x15">
      <x15ac:absPath xmlns:x15ac="http://schemas.microsoft.com/office/spreadsheetml/2010/11/ac" url="/Users/jorgeotavio/projects/senai-desenvolvimento-sistemas/docs/"/>
    </mc:Choice>
  </mc:AlternateContent>
  <xr:revisionPtr revIDLastSave="0" documentId="13_ncr:1_{5D43AD2E-D85D-A745-A9C9-846B53D71355}" xr6:coauthVersionLast="47" xr6:coauthVersionMax="47" xr10:uidLastSave="{00000000-0000-0000-0000-000000000000}"/>
  <bookViews>
    <workbookView xWindow="0" yWindow="600" windowWidth="28800" windowHeight="16460" xr2:uid="{00000000-000D-0000-FFFF-FFFF00000000}"/>
  </bookViews>
  <sheets>
    <sheet name="DESENVOL DE SISTEMA TEC.206.03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9" i="1" l="1"/>
  <c r="AG105" i="1"/>
  <c r="AG101" i="1"/>
  <c r="AG97" i="1"/>
  <c r="AG93" i="1"/>
  <c r="AG85" i="1"/>
  <c r="AK18" i="1"/>
  <c r="AK8" i="1"/>
  <c r="AL8" i="1" s="1"/>
  <c r="AK9" i="1" l="1"/>
  <c r="AK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tc={FA9D5AD2-883F-43E7-A385-3734BFD637EE}</author>
    <author>tc={B35502A6-A6FC-4363-82E2-F13309CB6D49}</author>
    <author>tc={10CB70BA-64D5-45BF-9206-5FF9EC5E8A8B}</author>
    <author>tc={38A62F55-ACC7-4500-8901-49FB5E19F27A}</author>
    <author>tc={35FC155E-AC24-48CE-823D-4317CEB16A28}</author>
    <author>tc={96238535-12E8-470E-9319-AC657161482D}</author>
    <author>tc={C6584B3F-D28A-4D49-B662-492B51929822}</author>
    <author>tc={C99E405D-1F2E-49E1-956D-9E33B84D2C8B}</author>
    <author>tc={4A1C2E7B-FBE2-40A9-B79F-B7F43B538DD7}</author>
    <author>tc={AADDA458-C857-4668-A54A-1F37DCA51A54}</author>
    <author>tc={E0B6135B-C467-4079-B3A9-F5C8E79F3FC7}</author>
    <author>tc={21733C1E-8189-454C-9B27-460AC5BC4687}</author>
    <author>tc={60F2897E-B84B-40EF-9DAB-47DC9F3A0B84}</author>
  </authors>
  <commentList>
    <comment ref="AA25" authorId="0" shapeId="0" xr:uid="{FA9D5AD2-883F-43E7-A385-3734BFD637E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João Paulo</t>
        </r>
      </text>
    </comment>
    <comment ref="H29" authorId="1" shapeId="0" xr:uid="{B35502A6-A6FC-4363-82E2-F13309CB6D4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João Paulo</t>
        </r>
      </text>
    </comment>
    <comment ref="T29" authorId="2" shapeId="0" xr:uid="{10CB70BA-64D5-45BF-9206-5FF9EC5E8A8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FERIADO</t>
        </r>
      </text>
    </comment>
    <comment ref="U29" authorId="3" shapeId="0" xr:uid="{38A62F55-ACC7-4500-8901-49FB5E19F27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Compensação</t>
        </r>
      </text>
    </comment>
    <comment ref="G33" authorId="4" shapeId="0" xr:uid="{35FC155E-AC24-48CE-823D-4317CEB16A2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ANTENCIPOU DO DIA 22/12</t>
        </r>
      </text>
    </comment>
    <comment ref="I33" authorId="5" shapeId="0" xr:uid="{96238535-12E8-470E-9319-AC657161482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FERIADO</t>
        </r>
      </text>
    </comment>
    <comment ref="N33" authorId="6" shapeId="0" xr:uid="{C6584B3F-D28A-4D49-B662-492B5192982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Antecipou do dia 23/12</t>
        </r>
      </text>
    </comment>
    <comment ref="G72" authorId="7" shapeId="0" xr:uid="{C99E405D-1F2E-49E1-956D-9E33B84D2C8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FERIADO DATA MAGNA</t>
        </r>
      </text>
    </comment>
    <comment ref="D75" authorId="8" shapeId="0" xr:uid="{4A1C2E7B-FBE2-40A9-B79F-B7F43B538DD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SEXTA´FEIRA SANTA</t>
        </r>
      </text>
    </comment>
    <comment ref="U75" authorId="9" shapeId="0" xr:uid="{AADDA458-C857-4668-A54A-1F37DCA51A5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Horas a compensar</t>
        </r>
      </text>
    </comment>
    <comment ref="V75" authorId="10" shapeId="0" xr:uid="{E0B6135B-C467-4079-B3A9-F5C8E79F3FC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FERIADO TIRADENTES</t>
        </r>
      </text>
    </comment>
    <comment ref="C77" authorId="11" shapeId="0" xr:uid="{21733C1E-8189-454C-9B27-460AC5BC468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HORAS A COMPENSAR (QUINTA-FEIRA SANTA)</t>
        </r>
      </text>
    </comment>
    <comment ref="B79" authorId="12" shapeId="0" xr:uid="{60F2897E-B84B-40EF-9DAB-47DC9F3A0B8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FERIADO - DIA DO TRABALHADOR</t>
        </r>
      </text>
    </comment>
  </commentList>
</comments>
</file>

<file path=xl/sharedStrings.xml><?xml version="1.0" encoding="utf-8"?>
<sst xmlns="http://schemas.openxmlformats.org/spreadsheetml/2006/main" count="1317" uniqueCount="99">
  <si>
    <t>CURSO</t>
  </si>
  <si>
    <t>TURMA</t>
  </si>
  <si>
    <t>CÓDIGO</t>
  </si>
  <si>
    <t>TURNO</t>
  </si>
  <si>
    <t>ANO
2025</t>
  </si>
  <si>
    <t>DESENVOLVIMENTO DE SISTEMAS</t>
  </si>
  <si>
    <t>TEC.206.031</t>
  </si>
  <si>
    <t>NOTURNO</t>
  </si>
  <si>
    <t>QUI</t>
  </si>
  <si>
    <t>SEX</t>
  </si>
  <si>
    <t>SÁB</t>
  </si>
  <si>
    <t>DOM</t>
  </si>
  <si>
    <t>SEG</t>
  </si>
  <si>
    <t>TER</t>
  </si>
  <si>
    <t>QUA</t>
  </si>
  <si>
    <t>1º e 2º aulas</t>
  </si>
  <si>
    <t>3º e 4º aulas</t>
  </si>
  <si>
    <t>CH</t>
  </si>
  <si>
    <t>EXECUTADO</t>
  </si>
  <si>
    <t>LP</t>
  </si>
  <si>
    <t>LP 1</t>
  </si>
  <si>
    <t>LP 2</t>
  </si>
  <si>
    <t xml:space="preserve">RESTANTE </t>
  </si>
  <si>
    <t>EAD</t>
  </si>
  <si>
    <t>LP 3</t>
  </si>
  <si>
    <t>CP</t>
  </si>
  <si>
    <t>MP</t>
  </si>
  <si>
    <t>DS</t>
  </si>
  <si>
    <t>FE</t>
  </si>
  <si>
    <t>BD</t>
  </si>
  <si>
    <t>MS</t>
  </si>
  <si>
    <t>MS1</t>
  </si>
  <si>
    <t>PA1</t>
  </si>
  <si>
    <t>PA</t>
  </si>
  <si>
    <t>FÉRIAS DOCENTES</t>
  </si>
  <si>
    <t>SIGLA</t>
  </si>
  <si>
    <t xml:space="preserve">        MÓDULO</t>
  </si>
  <si>
    <t>UNIDADE CURRICULAR</t>
  </si>
  <si>
    <t>DOCENTE</t>
  </si>
  <si>
    <t xml:space="preserve">MÓDULO BÁSICO </t>
  </si>
  <si>
    <t>LÓGICA DE PROGRAMAÇÃO</t>
  </si>
  <si>
    <t>100 h</t>
  </si>
  <si>
    <t>João Paulo</t>
  </si>
  <si>
    <t>Marcos</t>
  </si>
  <si>
    <t>Alisson</t>
  </si>
  <si>
    <t>Priscila</t>
  </si>
  <si>
    <t>EAD - INTRODUÇÃO A INDÚSTRIA 4.0</t>
  </si>
  <si>
    <t>24 h</t>
  </si>
  <si>
    <t>EAD - INTRODUÇÃO AO DESENVOLVIMENTO DE PROJETO</t>
  </si>
  <si>
    <t>12 h</t>
  </si>
  <si>
    <t>EAD - INTRODUÇÃO A TECNOLOGIA DA INFORMAÇÃO E COMUNICAÇÃO</t>
  </si>
  <si>
    <t>40 h</t>
  </si>
  <si>
    <t>CRIATIVIDADE E IDEAÇÃO EM PROJETOS DE INOVAÇÃO</t>
  </si>
  <si>
    <t>16 h</t>
  </si>
  <si>
    <t>MODELAGEM DE PROJETOS DE INOVAÇÃO</t>
  </si>
  <si>
    <t>20 h</t>
  </si>
  <si>
    <t>MÓDULO INTRODUTÓRIO (188 h)</t>
  </si>
  <si>
    <t>DESELVOLVIMENTO DE SISTEMAS I</t>
  </si>
  <si>
    <t>92 h</t>
  </si>
  <si>
    <t>EAD - INTRODUÇÃO A QUALIDADE E PRODUTIVIDADE</t>
  </si>
  <si>
    <t>FUNDAMENTOS DE ELETROTÉCNICA</t>
  </si>
  <si>
    <t>60 h</t>
  </si>
  <si>
    <t>EAD - SAÚDE E SEGURANÇA NO TRABALHO</t>
  </si>
  <si>
    <t>EAD - SUSTENTABILIDADE NOS PROCESSOS INDUSTRIAIS</t>
  </si>
  <si>
    <t>8 h</t>
  </si>
  <si>
    <t>MÓDULO ESPECÍFICO I (400H)</t>
  </si>
  <si>
    <t>BANCO DE DADOS</t>
  </si>
  <si>
    <t>120 h</t>
  </si>
  <si>
    <t xml:space="preserve">        Jonathan</t>
  </si>
  <si>
    <t>BD1</t>
  </si>
  <si>
    <t xml:space="preserve">      Caio</t>
  </si>
  <si>
    <t>MODELAGEM DE SISTEMAS I</t>
  </si>
  <si>
    <t xml:space="preserve">          João Paulo</t>
  </si>
  <si>
    <t>PROGRAMAÇÃO DE APLICATIVOS</t>
  </si>
  <si>
    <t xml:space="preserve">       Jonathan</t>
  </si>
  <si>
    <t>IC</t>
  </si>
  <si>
    <t>INTERNET DAS COISAS</t>
  </si>
  <si>
    <t>ANO
2026</t>
  </si>
  <si>
    <t>SAB</t>
  </si>
  <si>
    <t>CH MÊS</t>
  </si>
  <si>
    <t>IMERSÃO PEDAGÓGICA</t>
  </si>
  <si>
    <t xml:space="preserve">                       CARNAVAL</t>
  </si>
  <si>
    <t>PI</t>
  </si>
  <si>
    <t>II</t>
  </si>
  <si>
    <t>TS</t>
  </si>
  <si>
    <t>IS</t>
  </si>
  <si>
    <t>MO</t>
  </si>
  <si>
    <t>DSII</t>
  </si>
  <si>
    <t>MÓDULO</t>
  </si>
  <si>
    <t>Internet das Coisas</t>
  </si>
  <si>
    <t>Jorge</t>
  </si>
  <si>
    <t>Específico II (400H)</t>
  </si>
  <si>
    <t xml:space="preserve">Prototipagem de negócios inovadores </t>
  </si>
  <si>
    <t xml:space="preserve">Implementação de negócios inovadores </t>
  </si>
  <si>
    <t xml:space="preserve">Teste de Sistemas </t>
  </si>
  <si>
    <t xml:space="preserve">Implantação de Sistemas </t>
  </si>
  <si>
    <t xml:space="preserve">Modelagem de Sistemas II </t>
  </si>
  <si>
    <t xml:space="preserve">Manutenção de Sistemas </t>
  </si>
  <si>
    <t xml:space="preserve">Desenvolvimento de Sistemas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</si>
</sst>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rgb="FF00B050"/>
      <name val="Arial"/>
      <family val="2"/>
    </font>
    <font>
      <b/>
      <sz val="10"/>
      <color rgb="FFC00000"/>
      <name val="Arial"/>
      <family val="2"/>
    </font>
    <font>
      <u/>
      <sz val="10"/>
      <color indexed="12"/>
      <name val="Arial"/>
      <family val="2"/>
    </font>
    <font>
      <b/>
      <sz val="8"/>
      <color rgb="FF00B050"/>
      <name val="Arial"/>
      <family val="2"/>
    </font>
    <font>
      <b/>
      <sz val="8"/>
      <color theme="8"/>
      <name val="Arial"/>
      <family val="2"/>
    </font>
    <font>
      <b/>
      <sz val="9"/>
      <color theme="9" tint="-0.249977111117893"/>
      <name val="Arial"/>
      <family val="2"/>
    </font>
    <font>
      <b/>
      <sz val="10"/>
      <color rgb="FF0070C0"/>
      <name val="Arial"/>
      <family val="2"/>
    </font>
    <font>
      <b/>
      <sz val="10"/>
      <color rgb="FF002060"/>
      <name val="Arial"/>
      <family val="2"/>
    </font>
    <font>
      <b/>
      <sz val="8"/>
      <name val="Arial"/>
      <family val="2"/>
    </font>
    <font>
      <b/>
      <sz val="9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4EA72E"/>
      <name val="Aptos Narrow"/>
      <scheme val="minor"/>
    </font>
    <font>
      <b/>
      <sz val="11"/>
      <color rgb="FF4D93D9"/>
      <name val="Aptos Narrow"/>
      <scheme val="minor"/>
    </font>
    <font>
      <b/>
      <sz val="11"/>
      <color rgb="FFD86DCD"/>
      <name val="Aptos Narrow"/>
      <scheme val="minor"/>
    </font>
    <font>
      <sz val="10"/>
      <color rgb="FF000000"/>
      <name val="Aptos Narrow"/>
      <scheme val="minor"/>
    </font>
    <font>
      <b/>
      <sz val="11"/>
      <color rgb="FFE87331"/>
      <name val="Aptos Narrow"/>
      <scheme val="minor"/>
    </font>
    <font>
      <b/>
      <sz val="11"/>
      <color rgb="FF7E350E"/>
      <name val="Aptos Narrow"/>
      <scheme val="minor"/>
    </font>
    <font>
      <b/>
      <sz val="11"/>
      <color rgb="FF45D65A"/>
      <name val="Aptos Narrow"/>
      <scheme val="minor"/>
    </font>
    <font>
      <b/>
      <sz val="11"/>
      <color rgb="FF7030A0"/>
      <name val="Aptos Narrow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ptos Narrow"/>
      <scheme val="minor"/>
    </font>
    <font>
      <b/>
      <sz val="9"/>
      <color rgb="FF7030A0"/>
      <name val="Arial"/>
      <family val="2"/>
    </font>
    <font>
      <b/>
      <sz val="11"/>
      <color rgb="FF0070C0"/>
      <name val="Aptos Narrow"/>
      <family val="2"/>
      <scheme val="minor"/>
    </font>
    <font>
      <b/>
      <sz val="11"/>
      <color rgb="FF92D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10"/>
      <color theme="0"/>
      <name val="Arial"/>
      <family val="2"/>
    </font>
    <font>
      <b/>
      <sz val="11"/>
      <color rgb="FF92D050"/>
      <name val="Aptos Narrow"/>
      <scheme val="minor"/>
    </font>
    <font>
      <b/>
      <sz val="11"/>
      <color rgb="FFFF0000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rgb="FFC0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theme="3" tint="0.39997558519241921"/>
      <name val="Aptos Narrow"/>
      <family val="2"/>
      <scheme val="minor"/>
    </font>
    <font>
      <b/>
      <sz val="11"/>
      <color rgb="FFA02B93"/>
      <name val="Aptos Narrow"/>
      <scheme val="minor"/>
    </font>
    <font>
      <b/>
      <sz val="11"/>
      <color rgb="FF0F9ED5"/>
      <name val="Aptos Narrow"/>
      <scheme val="minor"/>
    </font>
    <font>
      <b/>
      <sz val="11"/>
      <color rgb="FFFFC000"/>
      <name val="Aptos Narrow"/>
      <scheme val="minor"/>
    </font>
    <font>
      <b/>
      <sz val="11"/>
      <color rgb="FF275317"/>
      <name val="Aptos Narrow"/>
      <scheme val="minor"/>
    </font>
    <font>
      <b/>
      <sz val="11"/>
      <color rgb="FFC00000"/>
      <name val="Aptos Narrow"/>
      <scheme val="minor"/>
    </font>
    <font>
      <b/>
      <sz val="11"/>
      <color rgb="FF0E2841"/>
      <name val="Aptos Narrow"/>
      <scheme val="minor"/>
    </font>
    <font>
      <b/>
      <sz val="9"/>
      <color theme="7"/>
      <name val="Arial"/>
      <family val="2"/>
    </font>
    <font>
      <b/>
      <sz val="10"/>
      <color theme="7"/>
      <name val="Arial"/>
      <family val="2"/>
    </font>
    <font>
      <b/>
      <u val="double"/>
      <sz val="11"/>
      <color theme="8" tint="-0.249977111117893"/>
      <name val="Aptos Narrow"/>
      <family val="2"/>
      <scheme val="minor"/>
    </font>
    <font>
      <b/>
      <sz val="11"/>
      <color rgb="FFE49EDD"/>
      <name val="Aptos Narrow"/>
    </font>
    <font>
      <b/>
      <sz val="11"/>
      <color rgb="FFF1A983"/>
      <name val="Aptos Narrow"/>
      <scheme val="minor"/>
    </font>
    <font>
      <b/>
      <u val="double"/>
      <sz val="11"/>
      <color rgb="FF7030A0"/>
      <name val="Aptos Narrow"/>
      <scheme val="minor"/>
    </font>
    <font>
      <b/>
      <u val="double"/>
      <sz val="11"/>
      <color theme="9" tint="-0.249977111117893"/>
      <name val="Aptos Narrow"/>
      <family val="2"/>
      <scheme val="minor"/>
    </font>
    <font>
      <b/>
      <u val="double"/>
      <sz val="9"/>
      <color rgb="FF00B050"/>
      <name val="Arial"/>
      <family val="2"/>
    </font>
    <font>
      <b/>
      <u val="double"/>
      <sz val="10"/>
      <color rgb="FFC00000"/>
      <name val="Arial"/>
      <family val="2"/>
    </font>
    <font>
      <b/>
      <u val="double"/>
      <sz val="11"/>
      <color rgb="FFC00000"/>
      <name val="Aptos Narrow"/>
      <family val="2"/>
      <scheme val="minor"/>
    </font>
    <font>
      <b/>
      <u val="double"/>
      <sz val="8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FF0000"/>
      <name val="Arial"/>
      <family val="2"/>
    </font>
    <font>
      <sz val="8"/>
      <color rgb="FFFF0000"/>
      <name val="Arial"/>
      <family val="2"/>
    </font>
    <font>
      <b/>
      <sz val="18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8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0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0" fontId="0" fillId="6" borderId="0" xfId="0" applyFill="1"/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2" fillId="3" borderId="0" xfId="2" applyFont="1" applyFill="1" applyBorder="1" applyAlignment="1" applyProtection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1" fillId="3" borderId="0" xfId="2" applyFont="1" applyFill="1" applyBorder="1" applyAlignment="1" applyProtection="1">
      <alignment horizontal="center" vertical="center"/>
    </xf>
    <xf numFmtId="0" fontId="11" fillId="3" borderId="0" xfId="2" applyFont="1" applyFill="1" applyAlignment="1" applyProtection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20" fontId="5" fillId="0" borderId="9" xfId="0" applyNumberFormat="1" applyFont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20" fontId="5" fillId="0" borderId="11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26" fillId="6" borderId="5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13" fillId="3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8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14" fillId="6" borderId="0" xfId="0" applyFont="1" applyFill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7" fillId="10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/>
    </xf>
    <xf numFmtId="0" fontId="20" fillId="9" borderId="5" xfId="0" applyFont="1" applyFill="1" applyBorder="1" applyAlignment="1">
      <alignment horizontal="center"/>
    </xf>
    <xf numFmtId="0" fontId="27" fillId="11" borderId="0" xfId="0" applyFont="1" applyFill="1" applyAlignment="1">
      <alignment horizontal="center" vertical="center"/>
    </xf>
    <xf numFmtId="0" fontId="28" fillId="11" borderId="0" xfId="0" applyFont="1" applyFill="1" applyAlignment="1" applyProtection="1">
      <alignment horizontal="center" vertical="center"/>
      <protection locked="0"/>
    </xf>
    <xf numFmtId="0" fontId="29" fillId="11" borderId="0" xfId="0" applyFont="1" applyFill="1" applyAlignment="1">
      <alignment horizontal="center"/>
    </xf>
    <xf numFmtId="0" fontId="29" fillId="9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21" fillId="9" borderId="10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/>
    </xf>
    <xf numFmtId="0" fontId="21" fillId="9" borderId="12" xfId="0" applyFont="1" applyFill="1" applyBorder="1" applyAlignment="1">
      <alignment horizontal="center"/>
    </xf>
    <xf numFmtId="0" fontId="23" fillId="9" borderId="0" xfId="0" applyFont="1" applyFill="1" applyAlignment="1">
      <alignment horizontal="center"/>
    </xf>
    <xf numFmtId="0" fontId="23" fillId="9" borderId="5" xfId="0" applyFont="1" applyFill="1" applyBorder="1" applyAlignment="1">
      <alignment horizontal="center"/>
    </xf>
    <xf numFmtId="0" fontId="24" fillId="9" borderId="0" xfId="0" applyFont="1" applyFill="1" applyAlignment="1">
      <alignment horizontal="center"/>
    </xf>
    <xf numFmtId="0" fontId="13" fillId="9" borderId="10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/>
    </xf>
    <xf numFmtId="0" fontId="30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8" fillId="3" borderId="0" xfId="0" applyFont="1" applyFill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8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0" fillId="0" borderId="14" xfId="0" applyBorder="1"/>
    <xf numFmtId="0" fontId="4" fillId="4" borderId="8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/>
    </xf>
    <xf numFmtId="0" fontId="40" fillId="12" borderId="22" xfId="0" applyFont="1" applyFill="1" applyBorder="1" applyAlignment="1">
      <alignment horizontal="center" vertical="center"/>
    </xf>
    <xf numFmtId="0" fontId="41" fillId="4" borderId="0" xfId="0" applyFont="1" applyFill="1" applyAlignment="1">
      <alignment horizontal="center"/>
    </xf>
    <xf numFmtId="0" fontId="42" fillId="4" borderId="0" xfId="0" applyFont="1" applyFill="1" applyAlignment="1">
      <alignment horizontal="center"/>
    </xf>
    <xf numFmtId="0" fontId="31" fillId="4" borderId="0" xfId="0" applyFont="1" applyFill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/>
    </xf>
    <xf numFmtId="0" fontId="41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0" fillId="0" borderId="20" xfId="0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43" fillId="6" borderId="0" xfId="0" applyFont="1" applyFill="1" applyAlignment="1">
      <alignment horizontal="center"/>
    </xf>
    <xf numFmtId="0" fontId="42" fillId="3" borderId="0" xfId="0" applyFont="1" applyFill="1" applyAlignment="1">
      <alignment horizontal="center"/>
    </xf>
    <xf numFmtId="0" fontId="17" fillId="7" borderId="23" xfId="0" applyFont="1" applyFill="1" applyBorder="1"/>
    <xf numFmtId="0" fontId="18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3" borderId="13" xfId="0" applyFont="1" applyFill="1" applyBorder="1" applyAlignment="1">
      <alignment horizontal="center"/>
    </xf>
    <xf numFmtId="0" fontId="18" fillId="3" borderId="24" xfId="0" applyFont="1" applyFill="1" applyBorder="1" applyAlignment="1">
      <alignment horizontal="center"/>
    </xf>
    <xf numFmtId="0" fontId="0" fillId="8" borderId="0" xfId="0" applyFill="1"/>
    <xf numFmtId="0" fontId="19" fillId="0" borderId="13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5" fillId="0" borderId="13" xfId="0" applyFont="1" applyBorder="1"/>
    <xf numFmtId="0" fontId="26" fillId="0" borderId="13" xfId="0" applyFont="1" applyBorder="1"/>
    <xf numFmtId="0" fontId="18" fillId="0" borderId="13" xfId="0" applyFont="1" applyBorder="1"/>
    <xf numFmtId="0" fontId="24" fillId="0" borderId="0" xfId="0" applyFont="1"/>
    <xf numFmtId="0" fontId="0" fillId="0" borderId="16" xfId="0" applyBorder="1" applyAlignment="1">
      <alignment horizontal="center"/>
    </xf>
    <xf numFmtId="0" fontId="17" fillId="7" borderId="15" xfId="0" applyFont="1" applyFill="1" applyBorder="1"/>
    <xf numFmtId="0" fontId="17" fillId="7" borderId="16" xfId="0" applyFont="1" applyFill="1" applyBorder="1"/>
    <xf numFmtId="0" fontId="17" fillId="7" borderId="17" xfId="0" applyFont="1" applyFill="1" applyBorder="1"/>
    <xf numFmtId="0" fontId="37" fillId="12" borderId="22" xfId="0" applyFont="1" applyFill="1" applyBorder="1" applyAlignment="1">
      <alignment horizontal="center" vertical="center"/>
    </xf>
    <xf numFmtId="0" fontId="50" fillId="6" borderId="0" xfId="0" applyFont="1" applyFill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/>
    </xf>
    <xf numFmtId="20" fontId="5" fillId="0" borderId="13" xfId="0" applyNumberFormat="1" applyFont="1" applyBorder="1" applyAlignment="1">
      <alignment horizontal="center" vertical="center"/>
    </xf>
    <xf numFmtId="0" fontId="51" fillId="6" borderId="0" xfId="0" applyFont="1" applyFill="1" applyAlignment="1">
      <alignment horizontal="center"/>
    </xf>
    <xf numFmtId="0" fontId="52" fillId="3" borderId="0" xfId="0" applyFont="1" applyFill="1" applyAlignment="1">
      <alignment vertical="center"/>
    </xf>
    <xf numFmtId="0" fontId="53" fillId="3" borderId="0" xfId="0" applyFont="1" applyFill="1" applyAlignment="1">
      <alignment horizontal="center"/>
    </xf>
    <xf numFmtId="0" fontId="53" fillId="4" borderId="0" xfId="0" applyFont="1" applyFill="1" applyAlignment="1">
      <alignment horizontal="center"/>
    </xf>
    <xf numFmtId="0" fontId="54" fillId="4" borderId="0" xfId="0" applyFont="1" applyFill="1" applyAlignment="1">
      <alignment vertical="center"/>
    </xf>
    <xf numFmtId="0" fontId="55" fillId="3" borderId="0" xfId="0" applyFont="1" applyFill="1" applyAlignment="1">
      <alignment horizontal="center"/>
    </xf>
    <xf numFmtId="0" fontId="56" fillId="3" borderId="0" xfId="0" applyFont="1" applyFill="1" applyAlignment="1">
      <alignment vertical="center"/>
    </xf>
    <xf numFmtId="0" fontId="57" fillId="4" borderId="0" xfId="0" applyFont="1" applyFill="1" applyAlignment="1">
      <alignment horizontal="center" vertical="center"/>
    </xf>
    <xf numFmtId="0" fontId="58" fillId="4" borderId="0" xfId="0" applyFont="1" applyFill="1" applyAlignment="1">
      <alignment horizont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horizontal="center"/>
    </xf>
    <xf numFmtId="20" fontId="5" fillId="0" borderId="18" xfId="0" applyNumberFormat="1" applyFont="1" applyBorder="1" applyAlignment="1">
      <alignment horizontal="center" vertical="center"/>
    </xf>
    <xf numFmtId="0" fontId="61" fillId="3" borderId="19" xfId="0" applyFont="1" applyFill="1" applyBorder="1" applyAlignment="1">
      <alignment vertical="center"/>
    </xf>
    <xf numFmtId="0" fontId="53" fillId="3" borderId="19" xfId="0" applyFont="1" applyFill="1" applyBorder="1" applyAlignment="1">
      <alignment horizontal="center"/>
    </xf>
    <xf numFmtId="0" fontId="53" fillId="4" borderId="19" xfId="0" applyFont="1" applyFill="1" applyBorder="1" applyAlignment="1">
      <alignment horizontal="center"/>
    </xf>
    <xf numFmtId="0" fontId="54" fillId="4" borderId="19" xfId="0" applyFont="1" applyFill="1" applyBorder="1" applyAlignment="1">
      <alignment vertical="center"/>
    </xf>
    <xf numFmtId="0" fontId="26" fillId="3" borderId="19" xfId="0" applyFont="1" applyFill="1" applyBorder="1" applyAlignment="1">
      <alignment horizontal="center"/>
    </xf>
    <xf numFmtId="0" fontId="62" fillId="3" borderId="19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/>
    </xf>
    <xf numFmtId="0" fontId="63" fillId="3" borderId="19" xfId="0" applyFont="1" applyFill="1" applyBorder="1" applyAlignment="1">
      <alignment vertical="center"/>
    </xf>
    <xf numFmtId="0" fontId="63" fillId="6" borderId="19" xfId="0" applyFont="1" applyFill="1" applyBorder="1" applyAlignment="1">
      <alignment vertical="center"/>
    </xf>
    <xf numFmtId="0" fontId="16" fillId="3" borderId="19" xfId="0" applyFont="1" applyFill="1" applyBorder="1" applyAlignment="1">
      <alignment horizontal="center"/>
    </xf>
    <xf numFmtId="0" fontId="56" fillId="4" borderId="0" xfId="0" applyFont="1" applyFill="1" applyAlignment="1">
      <alignment vertical="center"/>
    </xf>
    <xf numFmtId="0" fontId="57" fillId="3" borderId="0" xfId="0" applyFont="1" applyFill="1" applyAlignment="1">
      <alignment horizontal="center" vertical="center"/>
    </xf>
    <xf numFmtId="0" fontId="58" fillId="3" borderId="0" xfId="0" applyFont="1" applyFill="1" applyAlignment="1">
      <alignment horizontal="center"/>
    </xf>
    <xf numFmtId="0" fontId="60" fillId="4" borderId="0" xfId="0" applyFont="1" applyFill="1" applyAlignment="1">
      <alignment horizontal="center"/>
    </xf>
    <xf numFmtId="0" fontId="55" fillId="4" borderId="0" xfId="0" applyFont="1" applyFill="1" applyAlignment="1">
      <alignment horizontal="center"/>
    </xf>
    <xf numFmtId="0" fontId="62" fillId="4" borderId="19" xfId="0" applyFont="1" applyFill="1" applyBorder="1" applyAlignment="1">
      <alignment vertical="center"/>
    </xf>
    <xf numFmtId="0" fontId="8" fillId="3" borderId="19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26" fillId="4" borderId="19" xfId="0" applyFont="1" applyFill="1" applyBorder="1" applyAlignment="1">
      <alignment horizontal="center"/>
    </xf>
    <xf numFmtId="0" fontId="52" fillId="4" borderId="0" xfId="0" applyFont="1" applyFill="1" applyAlignment="1">
      <alignment vertical="center"/>
    </xf>
    <xf numFmtId="0" fontId="54" fillId="3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1" fillId="4" borderId="19" xfId="0" applyFont="1" applyFill="1" applyBorder="1" applyAlignment="1">
      <alignment vertical="center"/>
    </xf>
    <xf numFmtId="0" fontId="63" fillId="4" borderId="19" xfId="0" applyFont="1" applyFill="1" applyBorder="1" applyAlignment="1">
      <alignment vertical="center"/>
    </xf>
    <xf numFmtId="0" fontId="54" fillId="6" borderId="0" xfId="0" applyFont="1" applyFill="1" applyAlignment="1">
      <alignment vertical="center"/>
    </xf>
    <xf numFmtId="0" fontId="56" fillId="6" borderId="0" xfId="0" applyFont="1" applyFill="1" applyAlignment="1">
      <alignment vertical="center"/>
    </xf>
    <xf numFmtId="0" fontId="54" fillId="6" borderId="19" xfId="0" applyFont="1" applyFill="1" applyBorder="1" applyAlignment="1">
      <alignment vertical="center"/>
    </xf>
    <xf numFmtId="0" fontId="62" fillId="6" borderId="19" xfId="0" applyFont="1" applyFill="1" applyBorder="1" applyAlignment="1">
      <alignment vertical="center"/>
    </xf>
    <xf numFmtId="0" fontId="57" fillId="6" borderId="0" xfId="0" applyFont="1" applyFill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/>
    </xf>
    <xf numFmtId="0" fontId="56" fillId="2" borderId="0" xfId="0" applyFont="1" applyFill="1" applyAlignment="1">
      <alignment vertical="center"/>
    </xf>
    <xf numFmtId="0" fontId="59" fillId="2" borderId="0" xfId="0" applyFont="1" applyFill="1" applyAlignment="1">
      <alignment vertical="center"/>
    </xf>
    <xf numFmtId="0" fontId="60" fillId="2" borderId="0" xfId="0" applyFont="1" applyFill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62" fillId="2" borderId="19" xfId="0" applyFont="1" applyFill="1" applyBorder="1" applyAlignment="1">
      <alignment vertical="center"/>
    </xf>
    <xf numFmtId="0" fontId="63" fillId="2" borderId="19" xfId="0" applyFont="1" applyFill="1" applyBorder="1" applyAlignment="1">
      <alignment vertical="center"/>
    </xf>
    <xf numFmtId="0" fontId="16" fillId="2" borderId="19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2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/>
    </xf>
    <xf numFmtId="0" fontId="21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/>
    </xf>
    <xf numFmtId="0" fontId="23" fillId="4" borderId="19" xfId="0" applyFont="1" applyFill="1" applyBorder="1" applyAlignment="1">
      <alignment horizontal="center"/>
    </xf>
    <xf numFmtId="0" fontId="18" fillId="3" borderId="19" xfId="0" applyFont="1" applyFill="1" applyBorder="1" applyAlignment="1">
      <alignment horizontal="center"/>
    </xf>
    <xf numFmtId="0" fontId="36" fillId="3" borderId="19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/>
    </xf>
    <xf numFmtId="20" fontId="5" fillId="0" borderId="28" xfId="0" applyNumberFormat="1" applyFont="1" applyBorder="1" applyAlignment="1">
      <alignment horizontal="center" vertical="center"/>
    </xf>
    <xf numFmtId="0" fontId="33" fillId="3" borderId="19" xfId="0" applyFont="1" applyFill="1" applyBorder="1" applyAlignment="1">
      <alignment horizontal="center"/>
    </xf>
    <xf numFmtId="0" fontId="41" fillId="4" borderId="19" xfId="0" applyFont="1" applyFill="1" applyBorder="1" applyAlignment="1">
      <alignment horizontal="center"/>
    </xf>
    <xf numFmtId="0" fontId="41" fillId="6" borderId="19" xfId="0" applyFont="1" applyFill="1" applyBorder="1" applyAlignment="1">
      <alignment horizontal="center"/>
    </xf>
    <xf numFmtId="0" fontId="34" fillId="4" borderId="19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 vertical="center"/>
    </xf>
    <xf numFmtId="0" fontId="42" fillId="4" borderId="19" xfId="0" applyFont="1" applyFill="1" applyBorder="1" applyAlignment="1">
      <alignment horizontal="center"/>
    </xf>
    <xf numFmtId="0" fontId="36" fillId="6" borderId="19" xfId="0" applyFont="1" applyFill="1" applyBorder="1" applyAlignment="1">
      <alignment horizontal="center" vertical="center"/>
    </xf>
    <xf numFmtId="0" fontId="51" fillId="6" borderId="19" xfId="0" applyFont="1" applyFill="1" applyBorder="1" applyAlignment="1">
      <alignment horizontal="center"/>
    </xf>
    <xf numFmtId="0" fontId="43" fillId="6" borderId="19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50" fillId="6" borderId="19" xfId="0" applyFont="1" applyFill="1" applyBorder="1" applyAlignment="1">
      <alignment horizontal="center"/>
    </xf>
    <xf numFmtId="0" fontId="26" fillId="6" borderId="19" xfId="0" applyFont="1" applyFill="1" applyBorder="1" applyAlignment="1">
      <alignment horizontal="center"/>
    </xf>
    <xf numFmtId="0" fontId="42" fillId="3" borderId="19" xfId="0" applyFont="1" applyFill="1" applyBorder="1" applyAlignment="1">
      <alignment horizontal="center"/>
    </xf>
    <xf numFmtId="0" fontId="31" fillId="6" borderId="0" xfId="0" applyFont="1" applyFill="1" applyAlignment="1">
      <alignment horizontal="center"/>
    </xf>
    <xf numFmtId="0" fontId="32" fillId="4" borderId="0" xfId="0" applyFont="1" applyFill="1" applyAlignment="1">
      <alignment horizontal="center"/>
    </xf>
    <xf numFmtId="0" fontId="47" fillId="0" borderId="19" xfId="0" applyFont="1" applyBorder="1" applyAlignment="1">
      <alignment horizontal="center"/>
    </xf>
    <xf numFmtId="0" fontId="48" fillId="0" borderId="19" xfId="0" applyFont="1" applyBorder="1" applyAlignment="1">
      <alignment horizontal="center"/>
    </xf>
    <xf numFmtId="0" fontId="26" fillId="4" borderId="27" xfId="0" applyFont="1" applyFill="1" applyBorder="1" applyAlignment="1">
      <alignment horizontal="center"/>
    </xf>
    <xf numFmtId="0" fontId="49" fillId="0" borderId="19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37" fillId="12" borderId="25" xfId="0" applyFont="1" applyFill="1" applyBorder="1" applyAlignment="1">
      <alignment horizontal="center" vertical="center"/>
    </xf>
    <xf numFmtId="0" fontId="37" fillId="12" borderId="26" xfId="0" applyFont="1" applyFill="1" applyBorder="1" applyAlignment="1">
      <alignment horizontal="center" vertical="center"/>
    </xf>
    <xf numFmtId="0" fontId="65" fillId="3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1" fillId="3" borderId="0" xfId="0" applyFont="1" applyFill="1" applyAlignment="1">
      <alignment horizontal="center"/>
    </xf>
    <xf numFmtId="0" fontId="41" fillId="3" borderId="19" xfId="0" applyFont="1" applyFill="1" applyBorder="1" applyAlignment="1">
      <alignment horizontal="center"/>
    </xf>
    <xf numFmtId="0" fontId="45" fillId="0" borderId="1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19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59" fillId="6" borderId="0" xfId="0" applyFont="1" applyFill="1" applyAlignment="1">
      <alignment vertical="center"/>
    </xf>
    <xf numFmtId="0" fontId="48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0" fillId="12" borderId="0" xfId="0" applyFill="1"/>
    <xf numFmtId="0" fontId="4" fillId="3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3" fillId="4" borderId="0" xfId="0" applyFont="1" applyFill="1"/>
    <xf numFmtId="0" fontId="44" fillId="0" borderId="13" xfId="0" applyFont="1" applyBorder="1" applyAlignment="1">
      <alignment horizontal="center"/>
    </xf>
    <xf numFmtId="0" fontId="45" fillId="0" borderId="13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48" fillId="0" borderId="13" xfId="0" applyFont="1" applyBorder="1" applyAlignment="1">
      <alignment horizontal="center"/>
    </xf>
    <xf numFmtId="0" fontId="49" fillId="0" borderId="18" xfId="0" applyFont="1" applyBorder="1" applyAlignment="1">
      <alignment horizontal="center"/>
    </xf>
    <xf numFmtId="0" fontId="61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/>
    </xf>
    <xf numFmtId="0" fontId="62" fillId="3" borderId="0" xfId="0" applyFont="1" applyFill="1" applyAlignment="1">
      <alignment vertical="center"/>
    </xf>
    <xf numFmtId="0" fontId="62" fillId="4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67" fillId="3" borderId="0" xfId="0" applyFont="1" applyFill="1" applyAlignment="1">
      <alignment horizontal="center"/>
    </xf>
    <xf numFmtId="0" fontId="64" fillId="0" borderId="16" xfId="0" applyFont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7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7" fillId="12" borderId="21" xfId="0" applyFont="1" applyFill="1" applyBorder="1" applyAlignment="1">
      <alignment horizontal="center" vertical="center"/>
    </xf>
    <xf numFmtId="0" fontId="37" fillId="12" borderId="22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9" fillId="2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7" fillId="2" borderId="23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17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" fontId="1" fillId="0" borderId="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 vertical="center"/>
    </xf>
    <xf numFmtId="0" fontId="17" fillId="7" borderId="15" xfId="0" applyFont="1" applyFill="1" applyBorder="1" applyAlignment="1">
      <alignment horizontal="center"/>
    </xf>
    <xf numFmtId="0" fontId="17" fillId="7" borderId="16" xfId="0" applyFont="1" applyFill="1" applyBorder="1" applyAlignment="1">
      <alignment horizontal="center"/>
    </xf>
    <xf numFmtId="0" fontId="17" fillId="7" borderId="17" xfId="0" applyFont="1" applyFill="1" applyBorder="1" applyAlignment="1">
      <alignment horizontal="center"/>
    </xf>
    <xf numFmtId="0" fontId="22" fillId="0" borderId="1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8" borderId="19" xfId="0" applyFill="1" applyBorder="1" applyAlignment="1">
      <alignment horizontal="center"/>
    </xf>
    <xf numFmtId="0" fontId="0" fillId="8" borderId="19" xfId="0" applyFill="1" applyBorder="1" applyAlignment="1">
      <alignment horizontal="left"/>
    </xf>
    <xf numFmtId="0" fontId="17" fillId="2" borderId="16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</cellXfs>
  <cellStyles count="3">
    <cellStyle name="Hiperlink" xfId="2" builtinId="8"/>
    <cellStyle name="Normal" xfId="0" builtinId="0"/>
    <cellStyle name="Normal 2" xfId="1" xr:uid="{DB18BC6F-A609-4332-A95F-67DB553734B1}"/>
  </cellStyles>
  <dxfs count="613"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LVIA LOPES LEITE" id="{34970AD8-9EC5-4184-BF5F-E5D9CB09C24D}" userId="S::silvia.leite@sistemafiepe.org.br::757065c8-0361-4433-8a16-db086b6d9f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25" dT="2025-10-28T00:28:29.87" personId="{34970AD8-9EC5-4184-BF5F-E5D9CB09C24D}" id="{FA9D5AD2-883F-43E7-A385-3734BFD637EE}">
    <text>João Paulo</text>
  </threadedComment>
  <threadedComment ref="H29" dT="2025-10-28T00:30:35.61" personId="{34970AD8-9EC5-4184-BF5F-E5D9CB09C24D}" id="{B35502A6-A6FC-4363-82E2-F13309CB6D49}">
    <text>João Paulo</text>
  </threadedComment>
  <threadedComment ref="T29" dT="2025-10-30T23:35:35.48" personId="{34970AD8-9EC5-4184-BF5F-E5D9CB09C24D}" id="{10CB70BA-64D5-45BF-9206-5FF9EC5E8A8B}">
    <text>FERIADO</text>
  </threadedComment>
  <threadedComment ref="U29" dT="2025-10-30T23:46:33.46" personId="{34970AD8-9EC5-4184-BF5F-E5D9CB09C24D}" id="{38A62F55-ACC7-4500-8901-49FB5E19F27A}">
    <text>Compensação</text>
  </threadedComment>
  <threadedComment ref="G33" dT="2025-11-05T21:05:45.31" personId="{34970AD8-9EC5-4184-BF5F-E5D9CB09C24D}" id="{35FC155E-AC24-48CE-823D-4317CEB16A28}">
    <text>ANTENCIPOU DO DIA 22/12</text>
  </threadedComment>
  <threadedComment ref="I33" dT="2025-10-30T23:35:15.82" personId="{34970AD8-9EC5-4184-BF5F-E5D9CB09C24D}" id="{96238535-12E8-470E-9319-AC657161482D}">
    <text>FERIADO</text>
  </threadedComment>
  <threadedComment ref="N33" dT="2025-11-05T21:06:01.27" personId="{34970AD8-9EC5-4184-BF5F-E5D9CB09C24D}" id="{C6584B3F-D28A-4D49-B662-492B51929822}">
    <text>Antecipou do dia 23/12</text>
  </threadedComment>
  <threadedComment ref="G72" dT="2025-12-10T17:06:05.02" personId="{34970AD8-9EC5-4184-BF5F-E5D9CB09C24D}" id="{C99E405D-1F2E-49E1-956D-9E33B84D2C8B}">
    <text>FERIADO DATA MAGNA</text>
  </threadedComment>
  <threadedComment ref="D75" dT="2025-12-10T17:26:14.99" personId="{34970AD8-9EC5-4184-BF5F-E5D9CB09C24D}" id="{4A1C2E7B-FBE2-40A9-B79F-B7F43B538DD7}">
    <text>SEXTA´FEIRA SANTA</text>
  </threadedComment>
  <threadedComment ref="U75" dT="2025-12-19T22:46:42.83" personId="{34970AD8-9EC5-4184-BF5F-E5D9CB09C24D}" id="{AADDA458-C857-4668-A54A-1F37DCA51A54}">
    <text>Horas a compensar</text>
  </threadedComment>
  <threadedComment ref="V75" dT="2025-12-10T17:26:50.14" personId="{34970AD8-9EC5-4184-BF5F-E5D9CB09C24D}" id="{E0B6135B-C467-4079-B3A9-F5C8E79F3FC7}">
    <text>FERIADO TIRADENTES</text>
  </threadedComment>
  <threadedComment ref="C77" dT="2025-12-19T22:24:54.64" personId="{34970AD8-9EC5-4184-BF5F-E5D9CB09C24D}" id="{21733C1E-8189-454C-9B27-460AC5BC4687}">
    <text>HORAS A COMPENSAR (QUINTA-FEIRA SANTA)</text>
  </threadedComment>
  <threadedComment ref="B79" dT="2025-12-10T17:38:37.90" personId="{34970AD8-9EC5-4184-BF5F-E5D9CB09C24D}" id="{60F2897E-B84B-40EF-9DAB-47DC9F3A0B84}">
    <text>FERIADO - DIA DO TRABALHADOR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L129"/>
  <sheetViews>
    <sheetView showGridLines="0" tabSelected="1" topLeftCell="A58" workbookViewId="0">
      <selection activeCell="AB72" sqref="AB72"/>
    </sheetView>
  </sheetViews>
  <sheetFormatPr baseColWidth="10" defaultColWidth="8.83203125" defaultRowHeight="15" x14ac:dyDescent="0.2"/>
  <cols>
    <col min="1" max="1" width="10" bestFit="1" customWidth="1"/>
    <col min="2" max="2" width="5.33203125" bestFit="1" customWidth="1"/>
    <col min="3" max="3" width="5.1640625" bestFit="1" customWidth="1"/>
    <col min="4" max="4" width="4.33203125" customWidth="1"/>
    <col min="5" max="5" width="9.5" customWidth="1"/>
    <col min="6" max="6" width="6.33203125" customWidth="1"/>
    <col min="7" max="7" width="8.1640625" customWidth="1"/>
    <col min="8" max="10" width="5.1640625" bestFit="1" customWidth="1"/>
    <col min="11" max="11" width="7.83203125" bestFit="1" customWidth="1"/>
    <col min="12" max="13" width="5.1640625" bestFit="1" customWidth="1"/>
    <col min="14" max="14" width="7.83203125" customWidth="1"/>
    <col min="15" max="19" width="5.1640625" bestFit="1" customWidth="1"/>
    <col min="20" max="20" width="8" customWidth="1"/>
    <col min="21" max="24" width="5.1640625" bestFit="1" customWidth="1"/>
    <col min="25" max="25" width="7.1640625" customWidth="1"/>
    <col min="26" max="27" width="5.1640625" bestFit="1" customWidth="1"/>
    <col min="28" max="28" width="5.83203125" customWidth="1"/>
    <col min="29" max="30" width="5.1640625" bestFit="1" customWidth="1"/>
    <col min="31" max="31" width="6.33203125" customWidth="1"/>
  </cols>
  <sheetData>
    <row r="1" spans="1:3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/>
      <c r="M1" s="2"/>
      <c r="N1" s="2"/>
      <c r="O1" s="2"/>
      <c r="P1" s="2"/>
      <c r="Q1" s="2"/>
      <c r="R1" s="2"/>
      <c r="S1" s="2"/>
      <c r="T1" s="1" t="s">
        <v>2</v>
      </c>
      <c r="U1" s="1"/>
      <c r="V1" s="1"/>
      <c r="W1" s="1"/>
      <c r="X1" s="1"/>
      <c r="Y1" s="1" t="s">
        <v>3</v>
      </c>
      <c r="Z1" s="1"/>
      <c r="AA1" s="285" t="s">
        <v>4</v>
      </c>
      <c r="AB1" s="286"/>
      <c r="AC1" s="286"/>
      <c r="AD1" s="286"/>
      <c r="AE1" s="286"/>
    </row>
    <row r="2" spans="1:38" x14ac:dyDescent="0.2">
      <c r="A2" s="60" t="s">
        <v>5</v>
      </c>
      <c r="B2" s="60"/>
      <c r="C2" s="60"/>
      <c r="D2" s="60"/>
      <c r="E2" s="60"/>
      <c r="F2" s="6"/>
      <c r="G2" s="60"/>
      <c r="H2" s="60"/>
      <c r="I2" s="60"/>
      <c r="J2" s="4"/>
      <c r="K2" s="3">
        <v>2025</v>
      </c>
      <c r="L2" s="3"/>
      <c r="M2" s="5"/>
      <c r="N2" s="5"/>
      <c r="O2" s="5"/>
      <c r="P2" s="5"/>
      <c r="Q2" s="5"/>
      <c r="R2" s="5"/>
      <c r="S2" s="5"/>
      <c r="T2" s="6" t="s">
        <v>6</v>
      </c>
      <c r="U2" s="4"/>
      <c r="V2" s="4"/>
      <c r="W2" s="4"/>
      <c r="X2" s="4"/>
      <c r="Y2" s="6" t="s">
        <v>7</v>
      </c>
      <c r="Z2" s="4"/>
      <c r="AA2" s="287"/>
      <c r="AB2" s="287"/>
      <c r="AC2" s="287"/>
      <c r="AD2" s="287"/>
      <c r="AE2" s="287"/>
    </row>
    <row r="3" spans="1:38" x14ac:dyDescent="0.2">
      <c r="A3" s="290">
        <v>45778</v>
      </c>
      <c r="B3" s="7" t="s">
        <v>8</v>
      </c>
      <c r="C3" s="7" t="s">
        <v>9</v>
      </c>
      <c r="D3" s="8" t="s">
        <v>10</v>
      </c>
      <c r="E3" s="8" t="s">
        <v>11</v>
      </c>
      <c r="F3" s="7" t="s">
        <v>12</v>
      </c>
      <c r="G3" s="9" t="s">
        <v>13</v>
      </c>
      <c r="H3" s="9" t="s">
        <v>14</v>
      </c>
      <c r="I3" s="9" t="s">
        <v>8</v>
      </c>
      <c r="J3" s="9" t="s">
        <v>9</v>
      </c>
      <c r="K3" s="10" t="s">
        <v>10</v>
      </c>
      <c r="L3" s="10" t="s">
        <v>11</v>
      </c>
      <c r="M3" s="9" t="s">
        <v>12</v>
      </c>
      <c r="N3" s="7" t="s">
        <v>13</v>
      </c>
      <c r="O3" s="7" t="s">
        <v>14</v>
      </c>
      <c r="P3" s="7" t="s">
        <v>8</v>
      </c>
      <c r="Q3" s="7" t="s">
        <v>9</v>
      </c>
      <c r="R3" s="11" t="s">
        <v>11</v>
      </c>
      <c r="S3" s="7" t="s">
        <v>12</v>
      </c>
      <c r="T3" s="11" t="s">
        <v>13</v>
      </c>
      <c r="U3" s="7" t="s">
        <v>14</v>
      </c>
      <c r="V3" s="12" t="s">
        <v>8</v>
      </c>
      <c r="W3" s="7" t="s">
        <v>9</v>
      </c>
      <c r="X3" s="8" t="s">
        <v>10</v>
      </c>
      <c r="Y3" s="11" t="s">
        <v>11</v>
      </c>
      <c r="Z3" s="7" t="s">
        <v>12</v>
      </c>
      <c r="AA3" s="11" t="s">
        <v>13</v>
      </c>
      <c r="AB3" s="7" t="s">
        <v>14</v>
      </c>
      <c r="AC3" s="7" t="s">
        <v>8</v>
      </c>
      <c r="AD3" s="7" t="s">
        <v>9</v>
      </c>
      <c r="AE3" s="8" t="s">
        <v>10</v>
      </c>
    </row>
    <row r="4" spans="1:38" x14ac:dyDescent="0.2">
      <c r="A4" s="291"/>
      <c r="B4" s="13">
        <v>1</v>
      </c>
      <c r="C4" s="13">
        <v>2</v>
      </c>
      <c r="D4" s="14">
        <v>3</v>
      </c>
      <c r="E4" s="14">
        <v>4</v>
      </c>
      <c r="F4" s="13">
        <v>5</v>
      </c>
      <c r="G4" s="13">
        <v>6</v>
      </c>
      <c r="H4" s="13">
        <v>7</v>
      </c>
      <c r="I4" s="13">
        <v>8</v>
      </c>
      <c r="J4" s="15">
        <v>9</v>
      </c>
      <c r="K4" s="16">
        <v>10</v>
      </c>
      <c r="L4" s="14">
        <v>11</v>
      </c>
      <c r="M4" s="13">
        <v>12</v>
      </c>
      <c r="N4" s="13">
        <v>13</v>
      </c>
      <c r="O4" s="13">
        <v>14</v>
      </c>
      <c r="P4" s="13">
        <v>15</v>
      </c>
      <c r="Q4" s="13">
        <v>16</v>
      </c>
      <c r="R4" s="14">
        <v>18</v>
      </c>
      <c r="S4" s="13">
        <v>19</v>
      </c>
      <c r="T4" s="13">
        <v>20</v>
      </c>
      <c r="U4" s="13">
        <v>21</v>
      </c>
      <c r="V4" s="17">
        <v>22</v>
      </c>
      <c r="W4" s="13">
        <v>23</v>
      </c>
      <c r="X4" s="14">
        <v>24</v>
      </c>
      <c r="Y4" s="14">
        <v>25</v>
      </c>
      <c r="Z4" s="13">
        <v>26</v>
      </c>
      <c r="AA4" s="13">
        <v>27</v>
      </c>
      <c r="AB4" s="13">
        <v>28</v>
      </c>
      <c r="AC4" s="18">
        <v>29</v>
      </c>
      <c r="AD4" s="13">
        <v>30</v>
      </c>
      <c r="AE4" s="19">
        <v>31</v>
      </c>
    </row>
    <row r="5" spans="1:38" x14ac:dyDescent="0.2">
      <c r="A5" s="20" t="s">
        <v>15</v>
      </c>
      <c r="B5" s="21"/>
      <c r="C5" s="21"/>
      <c r="D5" s="22"/>
      <c r="E5" s="23"/>
      <c r="F5" s="29"/>
      <c r="G5" s="29"/>
      <c r="H5" s="29"/>
      <c r="I5" s="29"/>
      <c r="J5" s="29"/>
      <c r="K5" s="22"/>
      <c r="L5" s="23"/>
      <c r="M5" s="29"/>
      <c r="N5" s="29"/>
      <c r="O5" s="29"/>
      <c r="P5" s="29"/>
      <c r="Q5" s="29"/>
      <c r="R5" s="23"/>
      <c r="S5" s="29"/>
      <c r="T5" s="29"/>
      <c r="U5" s="30"/>
      <c r="V5" s="24"/>
      <c r="W5" s="24"/>
      <c r="X5" s="22"/>
      <c r="Y5" s="23"/>
      <c r="Z5" s="24"/>
      <c r="AA5" s="24"/>
      <c r="AB5" s="24"/>
      <c r="AC5" s="24"/>
      <c r="AD5" s="24"/>
      <c r="AE5" s="25"/>
    </row>
    <row r="6" spans="1:38" x14ac:dyDescent="0.2">
      <c r="A6" s="20" t="s">
        <v>16</v>
      </c>
      <c r="B6" s="21"/>
      <c r="C6" s="21"/>
      <c r="D6" s="22"/>
      <c r="E6" s="23"/>
      <c r="F6" s="29"/>
      <c r="G6" s="29"/>
      <c r="H6" s="29"/>
      <c r="I6" s="29"/>
      <c r="J6" s="29"/>
      <c r="K6" s="22"/>
      <c r="L6" s="23"/>
      <c r="M6" s="29"/>
      <c r="N6" s="29"/>
      <c r="O6" s="29"/>
      <c r="P6" s="29"/>
      <c r="Q6" s="29"/>
      <c r="R6" s="23"/>
      <c r="S6" s="29"/>
      <c r="T6" s="29"/>
      <c r="U6" s="30"/>
      <c r="V6" s="24"/>
      <c r="W6" s="24"/>
      <c r="X6" s="22"/>
      <c r="Y6" s="23"/>
      <c r="Z6" s="24"/>
      <c r="AA6" s="24"/>
      <c r="AB6" s="24"/>
      <c r="AC6" s="24"/>
      <c r="AD6" s="24"/>
      <c r="AE6" s="25"/>
    </row>
    <row r="7" spans="1:38" x14ac:dyDescent="0.2">
      <c r="A7" s="292">
        <v>45809</v>
      </c>
      <c r="B7" s="45" t="s">
        <v>11</v>
      </c>
      <c r="C7" s="34" t="s">
        <v>12</v>
      </c>
      <c r="D7" s="34" t="s">
        <v>13</v>
      </c>
      <c r="E7" s="34" t="s">
        <v>14</v>
      </c>
      <c r="F7" s="34" t="s">
        <v>8</v>
      </c>
      <c r="G7" s="34" t="s">
        <v>9</v>
      </c>
      <c r="H7" s="35" t="s">
        <v>10</v>
      </c>
      <c r="I7" s="35" t="s">
        <v>11</v>
      </c>
      <c r="J7" s="34" t="s">
        <v>12</v>
      </c>
      <c r="K7" s="34" t="s">
        <v>13</v>
      </c>
      <c r="L7" s="34" t="s">
        <v>14</v>
      </c>
      <c r="M7" s="34" t="s">
        <v>8</v>
      </c>
      <c r="N7" s="34" t="s">
        <v>9</v>
      </c>
      <c r="O7" s="35" t="s">
        <v>10</v>
      </c>
      <c r="P7" s="35" t="s">
        <v>11</v>
      </c>
      <c r="Q7" s="34" t="s">
        <v>12</v>
      </c>
      <c r="R7" s="34" t="s">
        <v>14</v>
      </c>
      <c r="S7" s="34" t="s">
        <v>8</v>
      </c>
      <c r="T7" s="34" t="s">
        <v>9</v>
      </c>
      <c r="U7" s="35" t="s">
        <v>10</v>
      </c>
      <c r="V7" s="36" t="s">
        <v>11</v>
      </c>
      <c r="W7" s="34" t="s">
        <v>12</v>
      </c>
      <c r="X7" s="36" t="s">
        <v>13</v>
      </c>
      <c r="Y7" s="34" t="s">
        <v>14</v>
      </c>
      <c r="Z7" s="34" t="s">
        <v>8</v>
      </c>
      <c r="AA7" s="34" t="s">
        <v>9</v>
      </c>
      <c r="AB7" s="35" t="s">
        <v>10</v>
      </c>
      <c r="AC7" s="36" t="s">
        <v>11</v>
      </c>
      <c r="AD7" s="34" t="s">
        <v>12</v>
      </c>
      <c r="AE7" s="37"/>
      <c r="AI7" t="s">
        <v>17</v>
      </c>
      <c r="AJ7">
        <v>1200</v>
      </c>
    </row>
    <row r="8" spans="1:38" x14ac:dyDescent="0.2">
      <c r="A8" s="293"/>
      <c r="B8" s="14">
        <v>1</v>
      </c>
      <c r="C8" s="13">
        <v>2</v>
      </c>
      <c r="D8" s="13">
        <v>3</v>
      </c>
      <c r="E8" s="13">
        <v>4</v>
      </c>
      <c r="F8" s="13">
        <v>5</v>
      </c>
      <c r="G8" s="13">
        <v>6</v>
      </c>
      <c r="H8" s="14">
        <v>7</v>
      </c>
      <c r="I8" s="14">
        <v>8</v>
      </c>
      <c r="J8" s="15">
        <v>9</v>
      </c>
      <c r="K8" s="15">
        <v>10</v>
      </c>
      <c r="L8" s="13">
        <v>11</v>
      </c>
      <c r="M8" s="13">
        <v>12</v>
      </c>
      <c r="N8" s="13">
        <v>13</v>
      </c>
      <c r="O8" s="14">
        <v>14</v>
      </c>
      <c r="P8" s="14">
        <v>15</v>
      </c>
      <c r="Q8" s="13">
        <v>16</v>
      </c>
      <c r="R8" s="13">
        <v>18</v>
      </c>
      <c r="S8" s="13">
        <v>19</v>
      </c>
      <c r="T8" s="13">
        <v>20</v>
      </c>
      <c r="U8" s="14">
        <v>21</v>
      </c>
      <c r="V8" s="14">
        <v>22</v>
      </c>
      <c r="W8" s="13">
        <v>23</v>
      </c>
      <c r="X8" s="13">
        <v>24</v>
      </c>
      <c r="Y8" s="13">
        <v>25</v>
      </c>
      <c r="Z8" s="13">
        <v>26</v>
      </c>
      <c r="AA8" s="13">
        <v>27</v>
      </c>
      <c r="AB8" s="14">
        <v>28</v>
      </c>
      <c r="AC8" s="46">
        <v>29</v>
      </c>
      <c r="AD8" s="13">
        <v>30</v>
      </c>
      <c r="AE8" s="38"/>
      <c r="AI8" t="s">
        <v>18</v>
      </c>
      <c r="AK8" t="e">
        <f>#REF!+#REF!</f>
        <v>#REF!</v>
      </c>
      <c r="AL8" t="e">
        <f>AK8+AK18</f>
        <v>#REF!</v>
      </c>
    </row>
    <row r="9" spans="1:38" x14ac:dyDescent="0.2">
      <c r="A9" s="39" t="s">
        <v>15</v>
      </c>
      <c r="B9" s="22"/>
      <c r="C9" s="61" t="s">
        <v>19</v>
      </c>
      <c r="D9" s="61" t="s">
        <v>19</v>
      </c>
      <c r="E9" s="61" t="s">
        <v>19</v>
      </c>
      <c r="F9" s="61" t="s">
        <v>19</v>
      </c>
      <c r="G9" s="61" t="s">
        <v>19</v>
      </c>
      <c r="H9" s="62"/>
      <c r="I9" s="63"/>
      <c r="J9" s="61" t="s">
        <v>19</v>
      </c>
      <c r="K9" s="61" t="s">
        <v>19</v>
      </c>
      <c r="L9" s="61" t="s">
        <v>19</v>
      </c>
      <c r="M9" s="61" t="s">
        <v>19</v>
      </c>
      <c r="N9" s="61" t="s">
        <v>19</v>
      </c>
      <c r="O9" s="61" t="s">
        <v>19</v>
      </c>
      <c r="P9" s="63"/>
      <c r="Q9" s="61" t="s">
        <v>19</v>
      </c>
      <c r="R9" s="61" t="s">
        <v>19</v>
      </c>
      <c r="S9" s="61" t="s">
        <v>19</v>
      </c>
      <c r="T9" s="61" t="s">
        <v>19</v>
      </c>
      <c r="U9" s="61" t="s">
        <v>19</v>
      </c>
      <c r="V9" s="63"/>
      <c r="W9" s="72"/>
      <c r="X9" s="72"/>
      <c r="Y9" s="61" t="s">
        <v>20</v>
      </c>
      <c r="Z9" s="64" t="s">
        <v>21</v>
      </c>
      <c r="AA9" s="64" t="s">
        <v>21</v>
      </c>
      <c r="AB9" s="62"/>
      <c r="AC9" s="63"/>
      <c r="AD9" s="61" t="s">
        <v>19</v>
      </c>
      <c r="AE9" s="47"/>
      <c r="AI9" t="s">
        <v>22</v>
      </c>
      <c r="AK9" t="e">
        <f>#REF!+#REF!+#REF!+#REF!+#REF!</f>
        <v>#REF!</v>
      </c>
    </row>
    <row r="10" spans="1:38" x14ac:dyDescent="0.2">
      <c r="A10" s="42" t="s">
        <v>16</v>
      </c>
      <c r="B10" s="26"/>
      <c r="C10" s="64" t="s">
        <v>19</v>
      </c>
      <c r="D10" s="64" t="s">
        <v>19</v>
      </c>
      <c r="E10" s="64" t="s">
        <v>19</v>
      </c>
      <c r="F10" s="64" t="s">
        <v>19</v>
      </c>
      <c r="G10" s="64" t="s">
        <v>19</v>
      </c>
      <c r="H10" s="65"/>
      <c r="I10" s="66"/>
      <c r="J10" s="64" t="s">
        <v>19</v>
      </c>
      <c r="K10" s="64" t="s">
        <v>19</v>
      </c>
      <c r="L10" s="64" t="s">
        <v>19</v>
      </c>
      <c r="M10" s="64" t="s">
        <v>19</v>
      </c>
      <c r="N10" s="64" t="s">
        <v>19</v>
      </c>
      <c r="O10" s="64" t="s">
        <v>19</v>
      </c>
      <c r="P10" s="66"/>
      <c r="Q10" s="64" t="s">
        <v>19</v>
      </c>
      <c r="R10" s="64" t="s">
        <v>19</v>
      </c>
      <c r="S10" s="64" t="s">
        <v>19</v>
      </c>
      <c r="T10" s="64" t="s">
        <v>19</v>
      </c>
      <c r="U10" s="64" t="s">
        <v>19</v>
      </c>
      <c r="V10" s="66"/>
      <c r="W10" s="73"/>
      <c r="X10" s="73"/>
      <c r="Y10" s="61" t="s">
        <v>20</v>
      </c>
      <c r="Z10" s="64" t="s">
        <v>21</v>
      </c>
      <c r="AA10" s="64" t="s">
        <v>21</v>
      </c>
      <c r="AB10" s="65"/>
      <c r="AC10" s="66"/>
      <c r="AD10" s="64" t="s">
        <v>19</v>
      </c>
      <c r="AE10" s="49"/>
      <c r="AI10">
        <v>2026</v>
      </c>
      <c r="AK10" t="e">
        <f>AJ7-AK8-AK9-AK18</f>
        <v>#REF!</v>
      </c>
    </row>
    <row r="11" spans="1:38" x14ac:dyDescent="0.2">
      <c r="A11" s="294">
        <v>45839</v>
      </c>
      <c r="B11" s="9" t="s">
        <v>13</v>
      </c>
      <c r="C11" s="9" t="s">
        <v>14</v>
      </c>
      <c r="D11" s="9" t="s">
        <v>8</v>
      </c>
      <c r="E11" s="9" t="s">
        <v>9</v>
      </c>
      <c r="F11" s="10" t="s">
        <v>10</v>
      </c>
      <c r="G11" s="10" t="s">
        <v>11</v>
      </c>
      <c r="H11" s="9" t="s">
        <v>12</v>
      </c>
      <c r="I11" s="9" t="s">
        <v>13</v>
      </c>
      <c r="J11" s="9" t="s">
        <v>14</v>
      </c>
      <c r="K11" s="9" t="s">
        <v>8</v>
      </c>
      <c r="L11" s="9" t="s">
        <v>9</v>
      </c>
      <c r="M11" s="10" t="s">
        <v>10</v>
      </c>
      <c r="N11" s="10" t="s">
        <v>11</v>
      </c>
      <c r="O11" s="9" t="s">
        <v>12</v>
      </c>
      <c r="P11" s="9" t="s">
        <v>13</v>
      </c>
      <c r="Q11" s="9" t="s">
        <v>14</v>
      </c>
      <c r="R11" s="78" t="s">
        <v>9</v>
      </c>
      <c r="S11" s="10" t="s">
        <v>10</v>
      </c>
      <c r="T11" s="50" t="s">
        <v>11</v>
      </c>
      <c r="U11" s="9" t="s">
        <v>12</v>
      </c>
      <c r="V11" s="50" t="s">
        <v>13</v>
      </c>
      <c r="W11" s="9" t="s">
        <v>14</v>
      </c>
      <c r="X11" s="9" t="s">
        <v>8</v>
      </c>
      <c r="Y11" s="9" t="s">
        <v>9</v>
      </c>
      <c r="Z11" s="10" t="s">
        <v>10</v>
      </c>
      <c r="AA11" s="50" t="s">
        <v>11</v>
      </c>
      <c r="AB11" s="9" t="s">
        <v>12</v>
      </c>
      <c r="AC11" s="50" t="s">
        <v>13</v>
      </c>
      <c r="AD11" s="9" t="s">
        <v>14</v>
      </c>
      <c r="AE11" s="51" t="s">
        <v>8</v>
      </c>
    </row>
    <row r="12" spans="1:38" x14ac:dyDescent="0.2">
      <c r="A12" s="293"/>
      <c r="B12" s="13">
        <v>1</v>
      </c>
      <c r="C12" s="13">
        <v>2</v>
      </c>
      <c r="D12" s="13">
        <v>3</v>
      </c>
      <c r="E12" s="13">
        <v>4</v>
      </c>
      <c r="F12" s="14">
        <v>5</v>
      </c>
      <c r="G12" s="14">
        <v>6</v>
      </c>
      <c r="H12" s="13">
        <v>7</v>
      </c>
      <c r="I12" s="13">
        <v>8</v>
      </c>
      <c r="J12" s="15">
        <v>9</v>
      </c>
      <c r="K12" s="15">
        <v>10</v>
      </c>
      <c r="L12" s="13">
        <v>11</v>
      </c>
      <c r="M12" s="14">
        <v>12</v>
      </c>
      <c r="N12" s="14">
        <v>13</v>
      </c>
      <c r="O12" s="13">
        <v>14</v>
      </c>
      <c r="P12" s="13">
        <v>15</v>
      </c>
      <c r="Q12" s="13">
        <v>16</v>
      </c>
      <c r="R12" s="79">
        <v>18</v>
      </c>
      <c r="S12" s="14">
        <v>19</v>
      </c>
      <c r="T12" s="14">
        <v>20</v>
      </c>
      <c r="U12" s="13">
        <v>21</v>
      </c>
      <c r="V12" s="77">
        <v>22</v>
      </c>
      <c r="W12" s="13">
        <v>23</v>
      </c>
      <c r="X12" s="13">
        <v>24</v>
      </c>
      <c r="Y12" s="13">
        <v>25</v>
      </c>
      <c r="Z12" s="14">
        <v>26</v>
      </c>
      <c r="AA12" s="14">
        <v>27</v>
      </c>
      <c r="AB12" s="13">
        <v>28</v>
      </c>
      <c r="AC12" s="18">
        <v>29</v>
      </c>
      <c r="AD12" s="13">
        <v>30</v>
      </c>
      <c r="AE12" s="38">
        <v>31</v>
      </c>
      <c r="AI12" t="s">
        <v>23</v>
      </c>
      <c r="AK12">
        <v>24</v>
      </c>
    </row>
    <row r="13" spans="1:38" x14ac:dyDescent="0.2">
      <c r="A13" s="39" t="s">
        <v>15</v>
      </c>
      <c r="B13" s="61" t="s">
        <v>19</v>
      </c>
      <c r="C13" s="61" t="s">
        <v>19</v>
      </c>
      <c r="D13" s="61" t="s">
        <v>24</v>
      </c>
      <c r="E13" s="61" t="s">
        <v>19</v>
      </c>
      <c r="F13" s="62"/>
      <c r="G13" s="63"/>
      <c r="H13" s="75" t="s">
        <v>25</v>
      </c>
      <c r="I13" s="75" t="s">
        <v>25</v>
      </c>
      <c r="J13" s="75" t="s">
        <v>25</v>
      </c>
      <c r="K13" s="75" t="s">
        <v>25</v>
      </c>
      <c r="L13" s="80" t="s">
        <v>26</v>
      </c>
      <c r="M13" s="62"/>
      <c r="N13" s="63"/>
      <c r="O13" s="80" t="s">
        <v>26</v>
      </c>
      <c r="P13" s="80" t="s">
        <v>26</v>
      </c>
      <c r="Q13" s="80" t="s">
        <v>26</v>
      </c>
      <c r="R13" s="85" t="s">
        <v>27</v>
      </c>
      <c r="S13" s="62"/>
      <c r="T13" s="63"/>
      <c r="U13" s="86" t="s">
        <v>27</v>
      </c>
      <c r="V13" s="86" t="s">
        <v>27</v>
      </c>
      <c r="W13" s="86" t="s">
        <v>27</v>
      </c>
      <c r="X13" s="86" t="s">
        <v>27</v>
      </c>
      <c r="Y13" s="86" t="s">
        <v>27</v>
      </c>
      <c r="Z13" s="62"/>
      <c r="AA13" s="63"/>
      <c r="AB13" s="86" t="s">
        <v>27</v>
      </c>
      <c r="AC13" s="86" t="s">
        <v>27</v>
      </c>
      <c r="AD13" s="86" t="s">
        <v>27</v>
      </c>
      <c r="AE13" s="87" t="s">
        <v>27</v>
      </c>
      <c r="AK13">
        <v>12</v>
      </c>
    </row>
    <row r="14" spans="1:38" x14ac:dyDescent="0.2">
      <c r="A14" s="42" t="s">
        <v>16</v>
      </c>
      <c r="B14" s="64" t="s">
        <v>19</v>
      </c>
      <c r="C14" s="64" t="s">
        <v>19</v>
      </c>
      <c r="D14" s="64" t="s">
        <v>24</v>
      </c>
      <c r="E14" s="64" t="s">
        <v>19</v>
      </c>
      <c r="F14" s="65"/>
      <c r="G14" s="66"/>
      <c r="H14" s="76" t="s">
        <v>25</v>
      </c>
      <c r="I14" s="76" t="s">
        <v>25</v>
      </c>
      <c r="J14" s="76" t="s">
        <v>25</v>
      </c>
      <c r="K14" s="76" t="s">
        <v>25</v>
      </c>
      <c r="L14" s="81" t="s">
        <v>26</v>
      </c>
      <c r="M14" s="65"/>
      <c r="N14" s="66"/>
      <c r="O14" s="81" t="s">
        <v>26</v>
      </c>
      <c r="P14" s="81" t="s">
        <v>26</v>
      </c>
      <c r="Q14" s="81" t="s">
        <v>26</v>
      </c>
      <c r="R14" s="88" t="s">
        <v>27</v>
      </c>
      <c r="S14" s="65"/>
      <c r="T14" s="66"/>
      <c r="U14" s="88" t="s">
        <v>27</v>
      </c>
      <c r="V14" s="88" t="s">
        <v>27</v>
      </c>
      <c r="W14" s="88" t="s">
        <v>27</v>
      </c>
      <c r="X14" s="88" t="s">
        <v>27</v>
      </c>
      <c r="Y14" s="88" t="s">
        <v>27</v>
      </c>
      <c r="Z14" s="65"/>
      <c r="AA14" s="66"/>
      <c r="AB14" s="88" t="s">
        <v>27</v>
      </c>
      <c r="AC14" s="88" t="s">
        <v>27</v>
      </c>
      <c r="AD14" s="88" t="s">
        <v>27</v>
      </c>
      <c r="AE14" s="89" t="s">
        <v>27</v>
      </c>
      <c r="AK14">
        <v>40</v>
      </c>
    </row>
    <row r="15" spans="1:38" x14ac:dyDescent="0.2">
      <c r="A15" s="294">
        <v>45870</v>
      </c>
      <c r="B15" s="9" t="s">
        <v>9</v>
      </c>
      <c r="C15" s="10" t="s">
        <v>10</v>
      </c>
      <c r="D15" s="10" t="s">
        <v>11</v>
      </c>
      <c r="E15" s="9" t="s">
        <v>12</v>
      </c>
      <c r="F15" s="9" t="s">
        <v>13</v>
      </c>
      <c r="G15" s="9" t="s">
        <v>14</v>
      </c>
      <c r="H15" s="9" t="s">
        <v>8</v>
      </c>
      <c r="I15" s="9" t="s">
        <v>9</v>
      </c>
      <c r="J15" s="10" t="s">
        <v>10</v>
      </c>
      <c r="K15" s="10" t="s">
        <v>11</v>
      </c>
      <c r="L15" s="9" t="s">
        <v>12</v>
      </c>
      <c r="M15" s="9" t="s">
        <v>13</v>
      </c>
      <c r="N15" s="9" t="s">
        <v>14</v>
      </c>
      <c r="O15" s="9" t="s">
        <v>8</v>
      </c>
      <c r="P15" s="9" t="s">
        <v>9</v>
      </c>
      <c r="Q15" s="10" t="s">
        <v>10</v>
      </c>
      <c r="R15" s="9" t="s">
        <v>12</v>
      </c>
      <c r="S15" s="50" t="s">
        <v>13</v>
      </c>
      <c r="T15" s="9" t="s">
        <v>14</v>
      </c>
      <c r="U15" s="9" t="s">
        <v>8</v>
      </c>
      <c r="V15" s="9" t="s">
        <v>9</v>
      </c>
      <c r="W15" s="10" t="s">
        <v>10</v>
      </c>
      <c r="X15" s="50" t="s">
        <v>11</v>
      </c>
      <c r="Y15" s="9" t="s">
        <v>12</v>
      </c>
      <c r="Z15" s="50" t="s">
        <v>13</v>
      </c>
      <c r="AA15" s="9" t="s">
        <v>14</v>
      </c>
      <c r="AB15" s="9" t="s">
        <v>8</v>
      </c>
      <c r="AC15" s="9" t="s">
        <v>9</v>
      </c>
      <c r="AD15" s="10" t="s">
        <v>10</v>
      </c>
      <c r="AE15" s="59" t="s">
        <v>11</v>
      </c>
      <c r="AK15">
        <v>16</v>
      </c>
    </row>
    <row r="16" spans="1:38" x14ac:dyDescent="0.2">
      <c r="A16" s="293"/>
      <c r="B16" s="13">
        <v>1</v>
      </c>
      <c r="C16" s="14">
        <v>2</v>
      </c>
      <c r="D16" s="14">
        <v>3</v>
      </c>
      <c r="E16" s="13">
        <v>4</v>
      </c>
      <c r="F16" s="13">
        <v>5</v>
      </c>
      <c r="G16" s="13">
        <v>6</v>
      </c>
      <c r="H16" s="13">
        <v>7</v>
      </c>
      <c r="I16" s="13">
        <v>8</v>
      </c>
      <c r="J16" s="16">
        <v>9</v>
      </c>
      <c r="K16" s="16">
        <v>10</v>
      </c>
      <c r="L16" s="13">
        <v>11</v>
      </c>
      <c r="M16" s="13">
        <v>12</v>
      </c>
      <c r="N16" s="13">
        <v>13</v>
      </c>
      <c r="O16" s="13">
        <v>14</v>
      </c>
      <c r="P16" s="13">
        <v>15</v>
      </c>
      <c r="Q16" s="14">
        <v>16</v>
      </c>
      <c r="R16" s="13">
        <v>18</v>
      </c>
      <c r="S16" s="13">
        <v>19</v>
      </c>
      <c r="T16" s="13">
        <v>20</v>
      </c>
      <c r="U16" s="13">
        <v>21</v>
      </c>
      <c r="V16" s="13">
        <v>22</v>
      </c>
      <c r="W16" s="14">
        <v>23</v>
      </c>
      <c r="X16" s="14">
        <v>24</v>
      </c>
      <c r="Y16" s="13">
        <v>25</v>
      </c>
      <c r="Z16" s="13">
        <v>26</v>
      </c>
      <c r="AA16" s="13">
        <v>27</v>
      </c>
      <c r="AB16" s="13">
        <v>28</v>
      </c>
      <c r="AC16" s="18">
        <v>29</v>
      </c>
      <c r="AD16" s="14">
        <v>30</v>
      </c>
      <c r="AE16" s="56">
        <v>31</v>
      </c>
      <c r="AK16">
        <v>12</v>
      </c>
    </row>
    <row r="17" spans="1:37" x14ac:dyDescent="0.2">
      <c r="A17" s="39" t="s">
        <v>15</v>
      </c>
      <c r="B17" s="86" t="s">
        <v>27</v>
      </c>
      <c r="C17" s="22"/>
      <c r="D17" s="23"/>
      <c r="E17" s="86" t="s">
        <v>27</v>
      </c>
      <c r="F17" s="86" t="s">
        <v>27</v>
      </c>
      <c r="G17" s="86" t="s">
        <v>27</v>
      </c>
      <c r="H17" s="86" t="s">
        <v>27</v>
      </c>
      <c r="I17" s="86" t="s">
        <v>27</v>
      </c>
      <c r="J17" s="22"/>
      <c r="K17" s="23"/>
      <c r="L17" s="86" t="s">
        <v>27</v>
      </c>
      <c r="M17" s="86" t="s">
        <v>27</v>
      </c>
      <c r="N17" s="86" t="s">
        <v>27</v>
      </c>
      <c r="O17" s="86" t="s">
        <v>27</v>
      </c>
      <c r="P17" s="86" t="s">
        <v>27</v>
      </c>
      <c r="Q17" s="22"/>
      <c r="R17" s="86" t="s">
        <v>27</v>
      </c>
      <c r="S17" s="86" t="s">
        <v>27</v>
      </c>
      <c r="T17" s="90" t="s">
        <v>28</v>
      </c>
      <c r="U17" s="90" t="s">
        <v>28</v>
      </c>
      <c r="V17" s="90" t="s">
        <v>28</v>
      </c>
      <c r="W17" s="22"/>
      <c r="X17" s="23"/>
      <c r="Y17" s="90" t="s">
        <v>28</v>
      </c>
      <c r="Z17" s="90" t="s">
        <v>28</v>
      </c>
      <c r="AA17" s="90" t="s">
        <v>28</v>
      </c>
      <c r="AB17" s="90" t="s">
        <v>28</v>
      </c>
      <c r="AC17" s="90" t="s">
        <v>28</v>
      </c>
      <c r="AD17" s="22"/>
      <c r="AE17" s="57"/>
      <c r="AK17">
        <v>8</v>
      </c>
    </row>
    <row r="18" spans="1:37" x14ac:dyDescent="0.2">
      <c r="A18" s="42" t="s">
        <v>16</v>
      </c>
      <c r="B18" s="88" t="s">
        <v>27</v>
      </c>
      <c r="C18" s="26"/>
      <c r="D18" s="27"/>
      <c r="E18" s="88" t="s">
        <v>27</v>
      </c>
      <c r="F18" s="88" t="s">
        <v>27</v>
      </c>
      <c r="G18" s="88" t="s">
        <v>27</v>
      </c>
      <c r="H18" s="88" t="s">
        <v>27</v>
      </c>
      <c r="I18" s="88" t="s">
        <v>27</v>
      </c>
      <c r="J18" s="26"/>
      <c r="K18" s="27"/>
      <c r="L18" s="88" t="s">
        <v>27</v>
      </c>
      <c r="M18" s="88" t="s">
        <v>27</v>
      </c>
      <c r="N18" s="88" t="s">
        <v>27</v>
      </c>
      <c r="O18" s="88" t="s">
        <v>27</v>
      </c>
      <c r="P18" s="88" t="s">
        <v>27</v>
      </c>
      <c r="Q18" s="26"/>
      <c r="R18" s="88" t="s">
        <v>27</v>
      </c>
      <c r="S18" s="88" t="s">
        <v>27</v>
      </c>
      <c r="T18" s="91" t="s">
        <v>28</v>
      </c>
      <c r="U18" s="91" t="s">
        <v>28</v>
      </c>
      <c r="V18" s="91" t="s">
        <v>28</v>
      </c>
      <c r="W18" s="26"/>
      <c r="X18" s="27"/>
      <c r="Y18" s="91" t="s">
        <v>28</v>
      </c>
      <c r="Z18" s="91" t="s">
        <v>28</v>
      </c>
      <c r="AA18" s="91" t="s">
        <v>28</v>
      </c>
      <c r="AB18" s="91" t="s">
        <v>28</v>
      </c>
      <c r="AC18" s="91" t="s">
        <v>28</v>
      </c>
      <c r="AD18" s="26"/>
      <c r="AE18" s="58"/>
      <c r="AK18">
        <f>SUM(AK12:AK17)</f>
        <v>112</v>
      </c>
    </row>
    <row r="19" spans="1:37" x14ac:dyDescent="0.2">
      <c r="A19" s="294">
        <v>45901</v>
      </c>
      <c r="B19" s="9" t="s">
        <v>12</v>
      </c>
      <c r="C19" s="9" t="s">
        <v>13</v>
      </c>
      <c r="D19" s="9" t="s">
        <v>14</v>
      </c>
      <c r="E19" s="9" t="s">
        <v>8</v>
      </c>
      <c r="F19" s="9" t="s">
        <v>9</v>
      </c>
      <c r="G19" s="10" t="s">
        <v>10</v>
      </c>
      <c r="H19" s="10" t="s">
        <v>11</v>
      </c>
      <c r="I19" s="9" t="s">
        <v>12</v>
      </c>
      <c r="J19" s="9" t="s">
        <v>13</v>
      </c>
      <c r="K19" s="82" t="s">
        <v>14</v>
      </c>
      <c r="L19" s="9" t="s">
        <v>8</v>
      </c>
      <c r="M19" s="9" t="s">
        <v>9</v>
      </c>
      <c r="N19" s="10" t="s">
        <v>10</v>
      </c>
      <c r="O19" s="10" t="s">
        <v>11</v>
      </c>
      <c r="P19" s="9" t="s">
        <v>12</v>
      </c>
      <c r="Q19" s="9" t="s">
        <v>13</v>
      </c>
      <c r="R19" s="50" t="s">
        <v>8</v>
      </c>
      <c r="S19" s="9" t="s">
        <v>9</v>
      </c>
      <c r="T19" s="10" t="s">
        <v>10</v>
      </c>
      <c r="U19" s="50" t="s">
        <v>11</v>
      </c>
      <c r="V19" s="9" t="s">
        <v>12</v>
      </c>
      <c r="W19" s="50" t="s">
        <v>13</v>
      </c>
      <c r="X19" s="9" t="s">
        <v>14</v>
      </c>
      <c r="Y19" s="9" t="s">
        <v>8</v>
      </c>
      <c r="Z19" s="9" t="s">
        <v>9</v>
      </c>
      <c r="AA19" s="10" t="s">
        <v>10</v>
      </c>
      <c r="AB19" s="50" t="s">
        <v>11</v>
      </c>
      <c r="AC19" s="9" t="s">
        <v>12</v>
      </c>
      <c r="AD19" s="50" t="s">
        <v>13</v>
      </c>
      <c r="AE19" s="51"/>
    </row>
    <row r="20" spans="1:37" x14ac:dyDescent="0.2">
      <c r="A20" s="293"/>
      <c r="B20" s="13">
        <v>1</v>
      </c>
      <c r="C20" s="13">
        <v>2</v>
      </c>
      <c r="D20" s="13">
        <v>3</v>
      </c>
      <c r="E20" s="13">
        <v>4</v>
      </c>
      <c r="F20" s="13">
        <v>5</v>
      </c>
      <c r="G20" s="14">
        <v>6</v>
      </c>
      <c r="H20" s="14">
        <v>7</v>
      </c>
      <c r="I20" s="13">
        <v>8</v>
      </c>
      <c r="J20" s="15">
        <v>9</v>
      </c>
      <c r="K20" s="83">
        <v>10</v>
      </c>
      <c r="L20" s="13">
        <v>11</v>
      </c>
      <c r="M20" s="13">
        <v>12</v>
      </c>
      <c r="N20" s="14">
        <v>13</v>
      </c>
      <c r="O20" s="14">
        <v>14</v>
      </c>
      <c r="P20" s="13">
        <v>15</v>
      </c>
      <c r="Q20" s="13">
        <v>16</v>
      </c>
      <c r="R20" s="77">
        <v>18</v>
      </c>
      <c r="S20" s="13">
        <v>19</v>
      </c>
      <c r="T20" s="14">
        <v>20</v>
      </c>
      <c r="U20" s="14">
        <v>21</v>
      </c>
      <c r="V20" s="13">
        <v>22</v>
      </c>
      <c r="W20" s="13">
        <v>23</v>
      </c>
      <c r="X20" s="13">
        <v>24</v>
      </c>
      <c r="Y20" s="13">
        <v>25</v>
      </c>
      <c r="Z20" s="13">
        <v>26</v>
      </c>
      <c r="AA20" s="14">
        <v>27</v>
      </c>
      <c r="AB20" s="14">
        <v>28</v>
      </c>
      <c r="AC20" s="18">
        <v>29</v>
      </c>
      <c r="AD20" s="13">
        <v>30</v>
      </c>
      <c r="AE20" s="38"/>
    </row>
    <row r="21" spans="1:37" x14ac:dyDescent="0.2">
      <c r="A21" s="39" t="s">
        <v>15</v>
      </c>
      <c r="B21" s="90" t="s">
        <v>28</v>
      </c>
      <c r="C21" s="90" t="s">
        <v>28</v>
      </c>
      <c r="D21" s="90" t="s">
        <v>28</v>
      </c>
      <c r="E21" s="90" t="s">
        <v>28</v>
      </c>
      <c r="F21" s="90" t="s">
        <v>28</v>
      </c>
      <c r="G21" s="22"/>
      <c r="H21" s="23"/>
      <c r="I21" s="90" t="s">
        <v>28</v>
      </c>
      <c r="J21" s="90" t="s">
        <v>28</v>
      </c>
      <c r="K21" s="84" t="s">
        <v>29</v>
      </c>
      <c r="L21" s="54"/>
      <c r="M21" s="54"/>
      <c r="N21" s="22"/>
      <c r="O21" s="23"/>
      <c r="P21" s="92" t="s">
        <v>29</v>
      </c>
      <c r="Q21" s="92" t="s">
        <v>29</v>
      </c>
      <c r="R21" s="92" t="s">
        <v>29</v>
      </c>
      <c r="S21" s="92" t="s">
        <v>29</v>
      </c>
      <c r="T21" s="62"/>
      <c r="U21" s="63"/>
      <c r="V21" s="92" t="s">
        <v>29</v>
      </c>
      <c r="W21" s="92" t="s">
        <v>29</v>
      </c>
      <c r="X21" s="92" t="s">
        <v>29</v>
      </c>
      <c r="Y21" s="92" t="s">
        <v>29</v>
      </c>
      <c r="Z21" s="92" t="s">
        <v>29</v>
      </c>
      <c r="AA21" s="62"/>
      <c r="AB21" s="63"/>
      <c r="AC21" s="92" t="s">
        <v>29</v>
      </c>
      <c r="AD21" s="92" t="s">
        <v>29</v>
      </c>
      <c r="AE21" s="93"/>
    </row>
    <row r="22" spans="1:37" x14ac:dyDescent="0.2">
      <c r="A22" s="39" t="s">
        <v>16</v>
      </c>
      <c r="B22" s="90" t="s">
        <v>28</v>
      </c>
      <c r="C22" s="90" t="s">
        <v>28</v>
      </c>
      <c r="D22" s="90" t="s">
        <v>28</v>
      </c>
      <c r="E22" s="90" t="s">
        <v>28</v>
      </c>
      <c r="F22" s="90" t="s">
        <v>28</v>
      </c>
      <c r="G22" s="22"/>
      <c r="H22" s="23"/>
      <c r="I22" s="90" t="s">
        <v>28</v>
      </c>
      <c r="J22" s="90" t="s">
        <v>28</v>
      </c>
      <c r="K22" s="31" t="s">
        <v>29</v>
      </c>
      <c r="L22" s="54"/>
      <c r="M22" s="54"/>
      <c r="N22" s="22"/>
      <c r="O22" s="23"/>
      <c r="P22" s="92" t="s">
        <v>29</v>
      </c>
      <c r="Q22" s="92" t="s">
        <v>29</v>
      </c>
      <c r="R22" s="92" t="s">
        <v>29</v>
      </c>
      <c r="S22" s="92" t="s">
        <v>29</v>
      </c>
      <c r="T22" s="62"/>
      <c r="U22" s="63"/>
      <c r="V22" s="92" t="s">
        <v>29</v>
      </c>
      <c r="W22" s="92" t="s">
        <v>29</v>
      </c>
      <c r="X22" s="92" t="s">
        <v>29</v>
      </c>
      <c r="Y22" s="92" t="s">
        <v>29</v>
      </c>
      <c r="Z22" s="92" t="s">
        <v>29</v>
      </c>
      <c r="AA22" s="62"/>
      <c r="AB22" s="63"/>
      <c r="AC22" s="92" t="s">
        <v>29</v>
      </c>
      <c r="AD22" s="92" t="s">
        <v>29</v>
      </c>
      <c r="AE22" s="93"/>
    </row>
    <row r="23" spans="1:37" x14ac:dyDescent="0.2">
      <c r="A23" s="292">
        <v>45931</v>
      </c>
      <c r="B23" s="34" t="s">
        <v>14</v>
      </c>
      <c r="C23" s="34" t="s">
        <v>8</v>
      </c>
      <c r="D23" s="34" t="s">
        <v>9</v>
      </c>
      <c r="E23" s="35" t="s">
        <v>10</v>
      </c>
      <c r="F23" s="35" t="s">
        <v>11</v>
      </c>
      <c r="G23" s="34" t="s">
        <v>12</v>
      </c>
      <c r="H23" s="34" t="s">
        <v>13</v>
      </c>
      <c r="I23" s="34" t="s">
        <v>14</v>
      </c>
      <c r="J23" s="34" t="s">
        <v>8</v>
      </c>
      <c r="K23" s="34" t="s">
        <v>9</v>
      </c>
      <c r="L23" s="35" t="s">
        <v>10</v>
      </c>
      <c r="M23" s="35" t="s">
        <v>11</v>
      </c>
      <c r="N23" s="34" t="s">
        <v>12</v>
      </c>
      <c r="O23" s="34" t="s">
        <v>13</v>
      </c>
      <c r="P23" s="34" t="s">
        <v>14</v>
      </c>
      <c r="Q23" s="34" t="s">
        <v>8</v>
      </c>
      <c r="R23" s="35" t="s">
        <v>10</v>
      </c>
      <c r="S23" s="36" t="s">
        <v>11</v>
      </c>
      <c r="T23" s="34" t="s">
        <v>12</v>
      </c>
      <c r="U23" s="36" t="s">
        <v>13</v>
      </c>
      <c r="V23" s="34" t="s">
        <v>14</v>
      </c>
      <c r="W23" s="34" t="s">
        <v>8</v>
      </c>
      <c r="X23" s="34" t="s">
        <v>9</v>
      </c>
      <c r="Y23" s="35" t="s">
        <v>10</v>
      </c>
      <c r="Z23" s="36" t="s">
        <v>11</v>
      </c>
      <c r="AA23" s="34" t="s">
        <v>12</v>
      </c>
      <c r="AB23" s="36" t="s">
        <v>13</v>
      </c>
      <c r="AC23" s="34" t="s">
        <v>14</v>
      </c>
      <c r="AD23" s="34" t="s">
        <v>8</v>
      </c>
      <c r="AE23" s="37" t="s">
        <v>9</v>
      </c>
    </row>
    <row r="24" spans="1:37" x14ac:dyDescent="0.2">
      <c r="A24" s="293"/>
      <c r="B24" s="13">
        <v>1</v>
      </c>
      <c r="C24" s="13">
        <v>2</v>
      </c>
      <c r="D24" s="13">
        <v>3</v>
      </c>
      <c r="E24" s="14">
        <v>4</v>
      </c>
      <c r="F24" s="14">
        <v>5</v>
      </c>
      <c r="G24" s="13">
        <v>6</v>
      </c>
      <c r="H24" s="13">
        <v>7</v>
      </c>
      <c r="I24" s="13">
        <v>8</v>
      </c>
      <c r="J24" s="15">
        <v>9</v>
      </c>
      <c r="K24" s="15">
        <v>10</v>
      </c>
      <c r="L24" s="14">
        <v>11</v>
      </c>
      <c r="M24" s="14">
        <v>12</v>
      </c>
      <c r="N24" s="13">
        <v>13</v>
      </c>
      <c r="O24" s="13">
        <v>14</v>
      </c>
      <c r="P24" s="13">
        <v>15</v>
      </c>
      <c r="Q24" s="13">
        <v>16</v>
      </c>
      <c r="R24" s="14">
        <v>18</v>
      </c>
      <c r="S24" s="14">
        <v>19</v>
      </c>
      <c r="T24" s="13">
        <v>20</v>
      </c>
      <c r="U24" s="13">
        <v>21</v>
      </c>
      <c r="V24" s="13">
        <v>22</v>
      </c>
      <c r="W24" s="13">
        <v>23</v>
      </c>
      <c r="X24" s="13">
        <v>24</v>
      </c>
      <c r="Y24" s="14">
        <v>25</v>
      </c>
      <c r="Z24" s="14">
        <v>26</v>
      </c>
      <c r="AA24" s="13">
        <v>27</v>
      </c>
      <c r="AB24" s="13">
        <v>28</v>
      </c>
      <c r="AC24" s="18">
        <v>29</v>
      </c>
      <c r="AD24" s="13">
        <v>30</v>
      </c>
      <c r="AE24" s="38">
        <v>31</v>
      </c>
    </row>
    <row r="25" spans="1:37" x14ac:dyDescent="0.2">
      <c r="A25" s="39" t="s">
        <v>15</v>
      </c>
      <c r="B25" s="92" t="s">
        <v>29</v>
      </c>
      <c r="C25" s="92" t="s">
        <v>29</v>
      </c>
      <c r="D25" s="92" t="s">
        <v>29</v>
      </c>
      <c r="E25" s="22"/>
      <c r="F25" s="23"/>
      <c r="G25" s="92" t="s">
        <v>29</v>
      </c>
      <c r="H25" s="92" t="s">
        <v>29</v>
      </c>
      <c r="I25" s="92" t="s">
        <v>29</v>
      </c>
      <c r="J25" s="92" t="s">
        <v>29</v>
      </c>
      <c r="K25" s="92" t="s">
        <v>29</v>
      </c>
      <c r="L25" s="62"/>
      <c r="M25" s="63"/>
      <c r="N25" s="92" t="s">
        <v>29</v>
      </c>
      <c r="O25" s="92" t="s">
        <v>29</v>
      </c>
      <c r="P25" s="92" t="s">
        <v>29</v>
      </c>
      <c r="Q25" s="92" t="s">
        <v>29</v>
      </c>
      <c r="R25" s="62"/>
      <c r="S25" s="63"/>
      <c r="T25" s="92" t="s">
        <v>29</v>
      </c>
      <c r="U25" s="92" t="s">
        <v>29</v>
      </c>
      <c r="V25" s="92" t="s">
        <v>29</v>
      </c>
      <c r="W25" s="92" t="s">
        <v>29</v>
      </c>
      <c r="X25" s="32" t="s">
        <v>30</v>
      </c>
      <c r="Y25" s="22"/>
      <c r="Z25" s="23"/>
      <c r="AA25" s="32" t="s">
        <v>31</v>
      </c>
      <c r="AB25" s="32" t="s">
        <v>31</v>
      </c>
      <c r="AC25" s="32" t="s">
        <v>31</v>
      </c>
      <c r="AD25" s="32" t="s">
        <v>31</v>
      </c>
      <c r="AE25" s="52" t="s">
        <v>31</v>
      </c>
    </row>
    <row r="26" spans="1:37" x14ac:dyDescent="0.2">
      <c r="A26" s="42" t="s">
        <v>16</v>
      </c>
      <c r="B26" s="94" t="s">
        <v>29</v>
      </c>
      <c r="C26" s="94" t="s">
        <v>29</v>
      </c>
      <c r="D26" s="94" t="s">
        <v>29</v>
      </c>
      <c r="E26" s="26"/>
      <c r="F26" s="27"/>
      <c r="G26" s="94" t="s">
        <v>29</v>
      </c>
      <c r="H26" s="94" t="s">
        <v>29</v>
      </c>
      <c r="I26" s="94" t="s">
        <v>29</v>
      </c>
      <c r="J26" s="94" t="s">
        <v>29</v>
      </c>
      <c r="K26" s="94" t="s">
        <v>29</v>
      </c>
      <c r="L26" s="65"/>
      <c r="M26" s="66"/>
      <c r="N26" s="94" t="s">
        <v>29</v>
      </c>
      <c r="O26" s="94" t="s">
        <v>29</v>
      </c>
      <c r="P26" s="94" t="s">
        <v>29</v>
      </c>
      <c r="Q26" s="94" t="s">
        <v>29</v>
      </c>
      <c r="R26" s="65"/>
      <c r="S26" s="66"/>
      <c r="T26" s="94" t="s">
        <v>29</v>
      </c>
      <c r="U26" s="94" t="s">
        <v>29</v>
      </c>
      <c r="V26" s="94" t="s">
        <v>29</v>
      </c>
      <c r="W26" s="94" t="s">
        <v>29</v>
      </c>
      <c r="X26" s="48" t="s">
        <v>30</v>
      </c>
      <c r="Y26" s="26"/>
      <c r="Z26" s="27"/>
      <c r="AA26" s="48" t="s">
        <v>31</v>
      </c>
      <c r="AB26" s="48" t="s">
        <v>31</v>
      </c>
      <c r="AC26" s="48" t="s">
        <v>31</v>
      </c>
      <c r="AD26" s="48" t="s">
        <v>31</v>
      </c>
      <c r="AE26" s="53" t="s">
        <v>31</v>
      </c>
    </row>
    <row r="27" spans="1:37" x14ac:dyDescent="0.2">
      <c r="A27" s="294">
        <v>45962</v>
      </c>
      <c r="B27" s="10" t="s">
        <v>10</v>
      </c>
      <c r="C27" s="55" t="s">
        <v>11</v>
      </c>
      <c r="D27" s="9" t="s">
        <v>12</v>
      </c>
      <c r="E27" s="9" t="s">
        <v>13</v>
      </c>
      <c r="F27" s="9" t="s">
        <v>14</v>
      </c>
      <c r="G27" s="9" t="s">
        <v>8</v>
      </c>
      <c r="H27" s="9" t="s">
        <v>9</v>
      </c>
      <c r="I27" s="10" t="s">
        <v>10</v>
      </c>
      <c r="J27" s="10" t="s">
        <v>11</v>
      </c>
      <c r="K27" s="9" t="s">
        <v>12</v>
      </c>
      <c r="L27" s="9" t="s">
        <v>13</v>
      </c>
      <c r="M27" s="9" t="s">
        <v>14</v>
      </c>
      <c r="N27" s="9" t="s">
        <v>8</v>
      </c>
      <c r="O27" s="9" t="s">
        <v>9</v>
      </c>
      <c r="P27" s="10" t="s">
        <v>10</v>
      </c>
      <c r="Q27" s="10" t="s">
        <v>11</v>
      </c>
      <c r="R27" s="9" t="s">
        <v>13</v>
      </c>
      <c r="S27" s="9" t="s">
        <v>14</v>
      </c>
      <c r="T27" s="9" t="s">
        <v>8</v>
      </c>
      <c r="U27" s="9" t="s">
        <v>9</v>
      </c>
      <c r="V27" s="10" t="s">
        <v>10</v>
      </c>
      <c r="W27" s="50" t="s">
        <v>11</v>
      </c>
      <c r="X27" s="9" t="s">
        <v>12</v>
      </c>
      <c r="Y27" s="50" t="s">
        <v>13</v>
      </c>
      <c r="Z27" s="9" t="s">
        <v>14</v>
      </c>
      <c r="AA27" s="9" t="s">
        <v>8</v>
      </c>
      <c r="AB27" s="9" t="s">
        <v>9</v>
      </c>
      <c r="AC27" s="10" t="s">
        <v>10</v>
      </c>
      <c r="AD27" s="50" t="s">
        <v>11</v>
      </c>
      <c r="AE27" s="51"/>
    </row>
    <row r="28" spans="1:37" x14ac:dyDescent="0.2">
      <c r="A28" s="293"/>
      <c r="B28" s="14">
        <v>1</v>
      </c>
      <c r="C28" s="14">
        <v>2</v>
      </c>
      <c r="D28" s="13">
        <v>3</v>
      </c>
      <c r="E28" s="13">
        <v>4</v>
      </c>
      <c r="F28" s="13">
        <v>5</v>
      </c>
      <c r="G28" s="13">
        <v>6</v>
      </c>
      <c r="H28" s="13">
        <v>7</v>
      </c>
      <c r="I28" s="14">
        <v>8</v>
      </c>
      <c r="J28" s="16">
        <v>9</v>
      </c>
      <c r="K28" s="15">
        <v>10</v>
      </c>
      <c r="L28" s="13">
        <v>11</v>
      </c>
      <c r="M28" s="13">
        <v>12</v>
      </c>
      <c r="N28" s="13">
        <v>13</v>
      </c>
      <c r="O28" s="13">
        <v>14</v>
      </c>
      <c r="P28" s="14">
        <v>15</v>
      </c>
      <c r="Q28" s="14">
        <v>16</v>
      </c>
      <c r="R28" s="13">
        <v>18</v>
      </c>
      <c r="S28" s="13">
        <v>19</v>
      </c>
      <c r="T28" s="13">
        <v>20</v>
      </c>
      <c r="U28" s="13">
        <v>21</v>
      </c>
      <c r="V28" s="14">
        <v>22</v>
      </c>
      <c r="W28" s="14">
        <v>23</v>
      </c>
      <c r="X28" s="13">
        <v>24</v>
      </c>
      <c r="Y28" s="13">
        <v>25</v>
      </c>
      <c r="Z28" s="13">
        <v>26</v>
      </c>
      <c r="AA28" s="13">
        <v>27</v>
      </c>
      <c r="AB28" s="13">
        <v>28</v>
      </c>
      <c r="AC28" s="46">
        <v>29</v>
      </c>
      <c r="AD28" s="14">
        <v>30</v>
      </c>
      <c r="AE28" s="38"/>
    </row>
    <row r="29" spans="1:37" x14ac:dyDescent="0.2">
      <c r="A29" s="39" t="s">
        <v>15</v>
      </c>
      <c r="B29" s="22"/>
      <c r="C29" s="23"/>
      <c r="D29" s="32" t="s">
        <v>31</v>
      </c>
      <c r="E29" s="32" t="s">
        <v>31</v>
      </c>
      <c r="F29" s="32" t="s">
        <v>31</v>
      </c>
      <c r="G29" s="32" t="s">
        <v>31</v>
      </c>
      <c r="H29" s="33" t="s">
        <v>32</v>
      </c>
      <c r="I29" s="22"/>
      <c r="J29" s="23"/>
      <c r="K29" s="33" t="s">
        <v>32</v>
      </c>
      <c r="L29" s="33" t="s">
        <v>32</v>
      </c>
      <c r="M29" s="33" t="s">
        <v>32</v>
      </c>
      <c r="N29" s="33" t="s">
        <v>32</v>
      </c>
      <c r="O29" s="33" t="s">
        <v>32</v>
      </c>
      <c r="P29" s="22"/>
      <c r="Q29" s="23"/>
      <c r="R29" s="33" t="s">
        <v>32</v>
      </c>
      <c r="S29" s="33" t="s">
        <v>32</v>
      </c>
      <c r="T29" s="41"/>
      <c r="U29" s="40"/>
      <c r="V29" s="22"/>
      <c r="W29" s="23"/>
      <c r="X29" s="33" t="s">
        <v>32</v>
      </c>
      <c r="Y29" s="33" t="s">
        <v>32</v>
      </c>
      <c r="Z29" s="33" t="s">
        <v>33</v>
      </c>
      <c r="AA29" s="33" t="s">
        <v>33</v>
      </c>
      <c r="AB29" s="33" t="s">
        <v>33</v>
      </c>
      <c r="AC29" s="22"/>
      <c r="AD29" s="23"/>
      <c r="AE29" s="47"/>
    </row>
    <row r="30" spans="1:37" x14ac:dyDescent="0.2">
      <c r="A30" s="42" t="s">
        <v>16</v>
      </c>
      <c r="B30" s="26"/>
      <c r="C30" s="27"/>
      <c r="D30" s="48" t="s">
        <v>31</v>
      </c>
      <c r="E30" s="48" t="s">
        <v>31</v>
      </c>
      <c r="F30" s="48" t="s">
        <v>31</v>
      </c>
      <c r="G30" s="48" t="s">
        <v>31</v>
      </c>
      <c r="H30" s="43" t="s">
        <v>32</v>
      </c>
      <c r="I30" s="26"/>
      <c r="J30" s="27"/>
      <c r="K30" s="43" t="s">
        <v>32</v>
      </c>
      <c r="L30" s="43" t="s">
        <v>32</v>
      </c>
      <c r="M30" s="43" t="s">
        <v>32</v>
      </c>
      <c r="N30" s="43" t="s">
        <v>32</v>
      </c>
      <c r="O30" s="43" t="s">
        <v>32</v>
      </c>
      <c r="P30" s="26"/>
      <c r="Q30" s="27"/>
      <c r="R30" s="43" t="s">
        <v>32</v>
      </c>
      <c r="S30" s="43" t="s">
        <v>32</v>
      </c>
      <c r="T30" s="28"/>
      <c r="U30" s="44"/>
      <c r="V30" s="26"/>
      <c r="W30" s="27"/>
      <c r="X30" s="43" t="s">
        <v>32</v>
      </c>
      <c r="Y30" s="33" t="s">
        <v>32</v>
      </c>
      <c r="Z30" s="43" t="s">
        <v>33</v>
      </c>
      <c r="AA30" s="43" t="s">
        <v>33</v>
      </c>
      <c r="AB30" s="43" t="s">
        <v>33</v>
      </c>
      <c r="AC30" s="26"/>
      <c r="AD30" s="27"/>
      <c r="AE30" s="49"/>
    </row>
    <row r="31" spans="1:37" x14ac:dyDescent="0.2">
      <c r="A31" s="294">
        <v>45992</v>
      </c>
      <c r="B31" s="9" t="s">
        <v>12</v>
      </c>
      <c r="C31" s="9" t="s">
        <v>13</v>
      </c>
      <c r="D31" s="9" t="s">
        <v>14</v>
      </c>
      <c r="E31" s="9" t="s">
        <v>8</v>
      </c>
      <c r="F31" s="9" t="s">
        <v>9</v>
      </c>
      <c r="G31" s="10" t="s">
        <v>10</v>
      </c>
      <c r="H31" s="10" t="s">
        <v>11</v>
      </c>
      <c r="I31" s="9" t="s">
        <v>12</v>
      </c>
      <c r="J31" s="9" t="s">
        <v>13</v>
      </c>
      <c r="K31" s="9" t="s">
        <v>14</v>
      </c>
      <c r="L31" s="9" t="s">
        <v>8</v>
      </c>
      <c r="M31" s="9" t="s">
        <v>9</v>
      </c>
      <c r="N31" s="10" t="s">
        <v>10</v>
      </c>
      <c r="O31" s="10" t="s">
        <v>11</v>
      </c>
      <c r="P31" s="9" t="s">
        <v>12</v>
      </c>
      <c r="Q31" s="9" t="s">
        <v>13</v>
      </c>
      <c r="R31" s="9" t="s">
        <v>8</v>
      </c>
      <c r="S31" s="9" t="s">
        <v>9</v>
      </c>
      <c r="T31" s="10" t="s">
        <v>10</v>
      </c>
      <c r="U31" s="50" t="s">
        <v>11</v>
      </c>
      <c r="V31" s="9" t="s">
        <v>12</v>
      </c>
      <c r="W31" s="50" t="s">
        <v>13</v>
      </c>
      <c r="X31" s="9" t="s">
        <v>14</v>
      </c>
      <c r="Y31" s="9" t="s">
        <v>8</v>
      </c>
      <c r="Z31" s="9" t="s">
        <v>9</v>
      </c>
      <c r="AA31" s="10" t="s">
        <v>10</v>
      </c>
      <c r="AB31" s="50" t="s">
        <v>11</v>
      </c>
      <c r="AC31" s="9" t="s">
        <v>12</v>
      </c>
      <c r="AD31" s="50" t="s">
        <v>13</v>
      </c>
      <c r="AE31" s="51" t="s">
        <v>14</v>
      </c>
    </row>
    <row r="32" spans="1:37" x14ac:dyDescent="0.2">
      <c r="A32" s="293"/>
      <c r="B32" s="13">
        <v>1</v>
      </c>
      <c r="C32" s="13">
        <v>2</v>
      </c>
      <c r="D32" s="13">
        <v>3</v>
      </c>
      <c r="E32" s="13">
        <v>4</v>
      </c>
      <c r="F32" s="13">
        <v>5</v>
      </c>
      <c r="G32" s="14">
        <v>6</v>
      </c>
      <c r="H32" s="14">
        <v>7</v>
      </c>
      <c r="I32" s="13">
        <v>8</v>
      </c>
      <c r="J32" s="15">
        <v>9</v>
      </c>
      <c r="K32" s="15">
        <v>10</v>
      </c>
      <c r="L32" s="13">
        <v>11</v>
      </c>
      <c r="M32" s="13">
        <v>12</v>
      </c>
      <c r="N32" s="13">
        <v>13</v>
      </c>
      <c r="O32" s="14">
        <v>14</v>
      </c>
      <c r="P32" s="13">
        <v>15</v>
      </c>
      <c r="Q32" s="13">
        <v>16</v>
      </c>
      <c r="R32" s="13">
        <v>18</v>
      </c>
      <c r="S32" s="13">
        <v>19</v>
      </c>
      <c r="T32" s="14">
        <v>20</v>
      </c>
      <c r="U32" s="14">
        <v>21</v>
      </c>
      <c r="V32" s="13">
        <v>22</v>
      </c>
      <c r="W32" s="13">
        <v>23</v>
      </c>
      <c r="X32" s="13">
        <v>24</v>
      </c>
      <c r="Y32" s="13">
        <v>25</v>
      </c>
      <c r="Z32" s="13">
        <v>26</v>
      </c>
      <c r="AA32" s="14">
        <v>27</v>
      </c>
      <c r="AB32" s="14">
        <v>28</v>
      </c>
      <c r="AC32" s="18">
        <v>29</v>
      </c>
      <c r="AD32" s="13">
        <v>30</v>
      </c>
      <c r="AE32" s="38">
        <v>31</v>
      </c>
    </row>
    <row r="33" spans="1:31" x14ac:dyDescent="0.2">
      <c r="A33" s="39" t="s">
        <v>15</v>
      </c>
      <c r="B33" s="33" t="s">
        <v>33</v>
      </c>
      <c r="C33" s="33" t="s">
        <v>33</v>
      </c>
      <c r="D33" s="33" t="s">
        <v>33</v>
      </c>
      <c r="E33" s="33" t="s">
        <v>33</v>
      </c>
      <c r="F33" s="33" t="s">
        <v>33</v>
      </c>
      <c r="G33" s="95" t="s">
        <v>33</v>
      </c>
      <c r="H33" s="23"/>
      <c r="I33" s="40"/>
      <c r="J33" s="33" t="s">
        <v>33</v>
      </c>
      <c r="K33" s="33" t="s">
        <v>33</v>
      </c>
      <c r="L33" s="33" t="s">
        <v>33</v>
      </c>
      <c r="M33" s="33" t="s">
        <v>33</v>
      </c>
      <c r="N33" s="95" t="s">
        <v>33</v>
      </c>
      <c r="O33" s="22"/>
      <c r="P33" s="33" t="s">
        <v>33</v>
      </c>
      <c r="Q33" s="33" t="s">
        <v>33</v>
      </c>
      <c r="R33" s="33" t="s">
        <v>33</v>
      </c>
      <c r="S33" s="33" t="s">
        <v>33</v>
      </c>
      <c r="T33" s="22"/>
      <c r="U33" s="23"/>
      <c r="V33" s="40"/>
      <c r="W33" s="40"/>
      <c r="X33" s="100"/>
      <c r="Y33" s="41"/>
      <c r="Z33" s="40"/>
      <c r="AA33" s="101"/>
      <c r="AB33" s="102"/>
      <c r="AC33" s="40"/>
      <c r="AD33" s="40"/>
      <c r="AE33" s="40"/>
    </row>
    <row r="34" spans="1:31" x14ac:dyDescent="0.2">
      <c r="A34" s="42" t="s">
        <v>16</v>
      </c>
      <c r="B34" s="33" t="s">
        <v>33</v>
      </c>
      <c r="C34" s="33" t="s">
        <v>33</v>
      </c>
      <c r="D34" s="33" t="s">
        <v>33</v>
      </c>
      <c r="E34" s="33" t="s">
        <v>33</v>
      </c>
      <c r="F34" s="33" t="s">
        <v>33</v>
      </c>
      <c r="G34" s="95" t="s">
        <v>33</v>
      </c>
      <c r="H34" s="23"/>
      <c r="I34" s="40"/>
      <c r="J34" s="33" t="s">
        <v>33</v>
      </c>
      <c r="K34" s="33" t="s">
        <v>33</v>
      </c>
      <c r="L34" s="33" t="s">
        <v>33</v>
      </c>
      <c r="M34" s="33" t="s">
        <v>33</v>
      </c>
      <c r="N34" s="95" t="s">
        <v>33</v>
      </c>
      <c r="O34" s="22"/>
      <c r="P34" s="43" t="s">
        <v>33</v>
      </c>
      <c r="Q34" s="43" t="s">
        <v>33</v>
      </c>
      <c r="R34" s="43" t="s">
        <v>33</v>
      </c>
      <c r="S34" s="43" t="s">
        <v>33</v>
      </c>
      <c r="T34" s="26"/>
      <c r="U34" s="27"/>
      <c r="V34" s="44"/>
      <c r="W34" s="44"/>
      <c r="X34" s="100"/>
      <c r="Y34" s="105" t="s">
        <v>34</v>
      </c>
      <c r="Z34" s="44"/>
      <c r="AA34" s="103"/>
      <c r="AB34" s="104"/>
      <c r="AC34" s="44"/>
      <c r="AD34" s="44"/>
      <c r="AE34" s="44"/>
    </row>
    <row r="35" spans="1:31" x14ac:dyDescent="0.2">
      <c r="B35" s="125" t="s">
        <v>35</v>
      </c>
      <c r="C35" s="140" t="s">
        <v>36</v>
      </c>
      <c r="D35" s="141"/>
      <c r="E35" s="142"/>
      <c r="F35" s="295" t="s">
        <v>37</v>
      </c>
      <c r="G35" s="296"/>
      <c r="H35" s="296"/>
      <c r="I35" s="296"/>
      <c r="J35" s="296"/>
      <c r="K35" s="297"/>
      <c r="L35" s="295" t="s">
        <v>17</v>
      </c>
      <c r="M35" s="296"/>
      <c r="N35" s="288" t="s">
        <v>38</v>
      </c>
      <c r="O35" s="288"/>
    </row>
    <row r="36" spans="1:31" x14ac:dyDescent="0.2">
      <c r="B36" s="126" t="s">
        <v>19</v>
      </c>
      <c r="C36" s="301" t="s">
        <v>39</v>
      </c>
      <c r="D36" s="301"/>
      <c r="E36" s="301"/>
      <c r="F36" s="273" t="s">
        <v>40</v>
      </c>
      <c r="G36" s="273"/>
      <c r="H36" s="273"/>
      <c r="I36" s="273"/>
      <c r="J36" s="273"/>
      <c r="K36" s="273"/>
      <c r="L36" s="270" t="s">
        <v>41</v>
      </c>
      <c r="M36" s="270"/>
      <c r="N36" s="272" t="s">
        <v>42</v>
      </c>
      <c r="O36" s="271"/>
    </row>
    <row r="37" spans="1:31" x14ac:dyDescent="0.2">
      <c r="B37" s="129" t="s">
        <v>20</v>
      </c>
      <c r="C37" s="301"/>
      <c r="D37" s="301"/>
      <c r="E37" s="301"/>
      <c r="F37" s="128"/>
      <c r="G37" s="128"/>
      <c r="H37" s="128"/>
      <c r="I37" s="128"/>
      <c r="J37" s="128"/>
      <c r="K37" s="128"/>
      <c r="L37" s="127"/>
      <c r="M37" s="127"/>
      <c r="N37" s="272" t="s">
        <v>43</v>
      </c>
      <c r="O37" s="271"/>
    </row>
    <row r="38" spans="1:31" x14ac:dyDescent="0.2">
      <c r="B38" s="130" t="s">
        <v>21</v>
      </c>
      <c r="C38" s="301"/>
      <c r="D38" s="301"/>
      <c r="E38" s="301"/>
      <c r="F38" s="128"/>
      <c r="G38" s="128"/>
      <c r="H38" s="128"/>
      <c r="I38" s="128"/>
      <c r="J38" s="128"/>
      <c r="K38" s="128"/>
      <c r="L38" s="127"/>
      <c r="M38" s="127"/>
      <c r="N38" s="272" t="s">
        <v>44</v>
      </c>
      <c r="O38" s="271"/>
    </row>
    <row r="39" spans="1:31" x14ac:dyDescent="0.2">
      <c r="B39" s="129" t="s">
        <v>24</v>
      </c>
      <c r="C39" s="301"/>
      <c r="D39" s="301"/>
      <c r="E39" s="301"/>
      <c r="F39" s="128"/>
      <c r="G39" s="128"/>
      <c r="H39" s="128"/>
      <c r="I39" s="128"/>
      <c r="J39" s="128"/>
      <c r="K39" s="128"/>
      <c r="L39" s="127"/>
      <c r="M39" s="127"/>
      <c r="N39" s="272" t="s">
        <v>45</v>
      </c>
      <c r="O39" s="271"/>
    </row>
    <row r="40" spans="1:31" x14ac:dyDescent="0.2">
      <c r="B40" s="69"/>
      <c r="C40" s="301"/>
      <c r="D40" s="301"/>
      <c r="E40" s="301"/>
      <c r="F40" s="274" t="s">
        <v>46</v>
      </c>
      <c r="G40" s="274"/>
      <c r="H40" s="274"/>
      <c r="I40" s="274"/>
      <c r="J40" s="274"/>
      <c r="K40" s="274"/>
      <c r="L40" s="289" t="s">
        <v>47</v>
      </c>
      <c r="M40" s="289"/>
      <c r="N40" s="272"/>
      <c r="O40" s="271"/>
    </row>
    <row r="41" spans="1:31" x14ac:dyDescent="0.2">
      <c r="B41" s="69"/>
      <c r="C41" s="301"/>
      <c r="D41" s="301"/>
      <c r="E41" s="301"/>
      <c r="F41" s="131" t="s">
        <v>48</v>
      </c>
      <c r="G41" s="131"/>
      <c r="H41" s="131"/>
      <c r="I41" s="131"/>
      <c r="J41" s="131"/>
      <c r="K41" s="131"/>
      <c r="L41" s="289" t="s">
        <v>49</v>
      </c>
      <c r="M41" s="289"/>
      <c r="N41" s="272"/>
      <c r="O41" s="271"/>
    </row>
    <row r="42" spans="1:31" x14ac:dyDescent="0.2">
      <c r="B42" s="69"/>
      <c r="C42" s="301"/>
      <c r="D42" s="301"/>
      <c r="E42" s="301"/>
      <c r="F42" s="131" t="s">
        <v>50</v>
      </c>
      <c r="G42" s="131"/>
      <c r="H42" s="131"/>
      <c r="I42" s="131"/>
      <c r="J42" s="131"/>
      <c r="K42" s="131"/>
      <c r="L42" s="289" t="s">
        <v>51</v>
      </c>
      <c r="M42" s="289"/>
      <c r="N42" s="272"/>
      <c r="O42" s="271"/>
    </row>
    <row r="43" spans="1:31" x14ac:dyDescent="0.2">
      <c r="B43" s="132" t="s">
        <v>25</v>
      </c>
      <c r="C43" s="301"/>
      <c r="D43" s="301"/>
      <c r="E43" s="301"/>
      <c r="F43" s="273" t="s">
        <v>52</v>
      </c>
      <c r="G43" s="273"/>
      <c r="H43" s="273"/>
      <c r="I43" s="273"/>
      <c r="J43" s="273"/>
      <c r="K43" s="273"/>
      <c r="L43" s="270" t="s">
        <v>53</v>
      </c>
      <c r="M43" s="270"/>
      <c r="N43" s="272"/>
      <c r="O43" s="271"/>
    </row>
    <row r="44" spans="1:31" x14ac:dyDescent="0.2">
      <c r="B44" s="133" t="s">
        <v>26</v>
      </c>
      <c r="C44" s="302"/>
      <c r="D44" s="302"/>
      <c r="E44" s="302"/>
      <c r="F44" s="273" t="s">
        <v>54</v>
      </c>
      <c r="G44" s="273"/>
      <c r="H44" s="273"/>
      <c r="I44" s="273"/>
      <c r="J44" s="273"/>
      <c r="K44" s="273"/>
      <c r="L44" s="270" t="s">
        <v>55</v>
      </c>
      <c r="M44" s="270"/>
      <c r="N44" s="272"/>
      <c r="O44" s="271"/>
    </row>
    <row r="45" spans="1:31" x14ac:dyDescent="0.2">
      <c r="B45" s="67"/>
      <c r="C45" s="298" t="s">
        <v>56</v>
      </c>
      <c r="D45" s="298"/>
      <c r="E45" s="298"/>
      <c r="F45" s="68"/>
      <c r="G45" s="68"/>
      <c r="H45" s="68"/>
      <c r="I45" s="68"/>
      <c r="J45" s="68"/>
      <c r="K45" s="68"/>
      <c r="L45" s="139"/>
      <c r="M45" s="139"/>
      <c r="N45" s="69"/>
      <c r="O45" s="108"/>
    </row>
    <row r="46" spans="1:31" x14ac:dyDescent="0.2">
      <c r="B46" s="134" t="s">
        <v>27</v>
      </c>
      <c r="C46" s="299"/>
      <c r="D46" s="299"/>
      <c r="E46" s="299"/>
      <c r="F46" s="273" t="s">
        <v>57</v>
      </c>
      <c r="G46" s="273"/>
      <c r="H46" s="273"/>
      <c r="I46" s="273"/>
      <c r="J46" s="273"/>
      <c r="K46" s="273"/>
      <c r="L46" s="270" t="s">
        <v>58</v>
      </c>
      <c r="M46" s="270"/>
      <c r="N46" s="272"/>
      <c r="O46" s="271"/>
    </row>
    <row r="47" spans="1:31" x14ac:dyDescent="0.2">
      <c r="B47" s="69"/>
      <c r="C47" s="299"/>
      <c r="D47" s="299"/>
      <c r="E47" s="299"/>
      <c r="F47" s="274" t="s">
        <v>59</v>
      </c>
      <c r="G47" s="274"/>
      <c r="H47" s="274"/>
      <c r="I47" s="274"/>
      <c r="J47" s="274"/>
      <c r="K47" s="274"/>
      <c r="L47" s="289" t="s">
        <v>53</v>
      </c>
      <c r="M47" s="289"/>
      <c r="N47" s="272"/>
      <c r="O47" s="271"/>
    </row>
    <row r="48" spans="1:31" x14ac:dyDescent="0.2">
      <c r="B48" s="122" t="s">
        <v>28</v>
      </c>
      <c r="C48" s="299"/>
      <c r="D48" s="299"/>
      <c r="E48" s="299"/>
      <c r="F48" s="273" t="s">
        <v>60</v>
      </c>
      <c r="G48" s="273"/>
      <c r="H48" s="273"/>
      <c r="I48" s="273"/>
      <c r="J48" s="273"/>
      <c r="K48" s="273"/>
      <c r="L48" s="270" t="s">
        <v>61</v>
      </c>
      <c r="M48" s="270"/>
      <c r="N48" s="272"/>
      <c r="O48" s="271"/>
    </row>
    <row r="49" spans="1:33" x14ac:dyDescent="0.2">
      <c r="B49" s="69"/>
      <c r="C49" s="299"/>
      <c r="D49" s="299"/>
      <c r="E49" s="299"/>
      <c r="F49" s="274" t="s">
        <v>62</v>
      </c>
      <c r="G49" s="274"/>
      <c r="H49" s="274"/>
      <c r="I49" s="274"/>
      <c r="J49" s="274"/>
      <c r="K49" s="274"/>
      <c r="L49" s="289" t="s">
        <v>49</v>
      </c>
      <c r="M49" s="289"/>
      <c r="N49" s="272"/>
      <c r="O49" s="271"/>
    </row>
    <row r="50" spans="1:33" x14ac:dyDescent="0.2">
      <c r="B50" s="70"/>
      <c r="C50" s="300"/>
      <c r="D50" s="300"/>
      <c r="E50" s="300"/>
      <c r="F50" s="304" t="s">
        <v>63</v>
      </c>
      <c r="G50" s="304"/>
      <c r="H50" s="304"/>
      <c r="I50" s="304"/>
      <c r="J50" s="304"/>
      <c r="K50" s="304"/>
      <c r="L50" s="303" t="s">
        <v>64</v>
      </c>
      <c r="M50" s="303"/>
      <c r="N50" s="272"/>
      <c r="O50" s="271"/>
    </row>
    <row r="51" spans="1:33" x14ac:dyDescent="0.2">
      <c r="B51" s="69"/>
      <c r="C51" s="268" t="s">
        <v>65</v>
      </c>
      <c r="D51" s="268"/>
      <c r="E51" s="268"/>
      <c r="N51" s="69"/>
      <c r="O51" s="108"/>
    </row>
    <row r="52" spans="1:33" x14ac:dyDescent="0.2">
      <c r="A52" s="108"/>
      <c r="B52" s="138" t="s">
        <v>29</v>
      </c>
      <c r="C52" s="269"/>
      <c r="D52" s="269"/>
      <c r="E52" s="269"/>
      <c r="F52" t="s">
        <v>66</v>
      </c>
      <c r="L52" t="s">
        <v>67</v>
      </c>
      <c r="N52" s="121" t="s">
        <v>68</v>
      </c>
      <c r="O52" s="120"/>
    </row>
    <row r="53" spans="1:33" x14ac:dyDescent="0.2">
      <c r="A53" s="108"/>
      <c r="B53" s="138" t="s">
        <v>69</v>
      </c>
      <c r="C53" s="269"/>
      <c r="D53" s="269"/>
      <c r="E53" s="269"/>
      <c r="F53" t="s">
        <v>66</v>
      </c>
      <c r="N53" s="121" t="s">
        <v>70</v>
      </c>
      <c r="O53" s="120"/>
    </row>
    <row r="54" spans="1:33" x14ac:dyDescent="0.2">
      <c r="B54" s="135" t="s">
        <v>30</v>
      </c>
      <c r="C54" s="269"/>
      <c r="D54" s="269"/>
      <c r="E54" s="269"/>
      <c r="F54" t="s">
        <v>71</v>
      </c>
      <c r="L54" t="s">
        <v>51</v>
      </c>
      <c r="N54" s="121"/>
      <c r="O54" s="120"/>
    </row>
    <row r="55" spans="1:33" x14ac:dyDescent="0.2">
      <c r="B55" s="135" t="s">
        <v>31</v>
      </c>
      <c r="C55" s="269"/>
      <c r="D55" s="269"/>
      <c r="E55" s="269"/>
      <c r="N55" s="121" t="s">
        <v>72</v>
      </c>
      <c r="O55" s="120"/>
    </row>
    <row r="56" spans="1:33" x14ac:dyDescent="0.2">
      <c r="B56" s="136" t="s">
        <v>33</v>
      </c>
      <c r="C56" s="269"/>
      <c r="D56" s="269"/>
      <c r="E56" s="269"/>
      <c r="F56" t="s">
        <v>73</v>
      </c>
      <c r="L56" t="s">
        <v>67</v>
      </c>
      <c r="N56" s="121" t="s">
        <v>74</v>
      </c>
      <c r="O56" s="120"/>
    </row>
    <row r="57" spans="1:33" x14ac:dyDescent="0.2">
      <c r="B57" s="137" t="s">
        <v>75</v>
      </c>
      <c r="C57" s="269"/>
      <c r="D57" s="269"/>
      <c r="E57" s="269"/>
      <c r="F57" t="s">
        <v>76</v>
      </c>
      <c r="L57" t="s">
        <v>67</v>
      </c>
      <c r="N57" s="121" t="s">
        <v>68</v>
      </c>
      <c r="O57" s="120"/>
    </row>
    <row r="58" spans="1:33" x14ac:dyDescent="0.2">
      <c r="B58" s="69"/>
      <c r="N58" s="69"/>
      <c r="O58" s="108"/>
    </row>
    <row r="59" spans="1:33" x14ac:dyDescent="0.2">
      <c r="B59" s="70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0"/>
      <c r="O59" s="119"/>
    </row>
    <row r="60" spans="1:33" ht="15" customHeight="1" x14ac:dyDescent="0.2">
      <c r="A60" s="1" t="s">
        <v>0</v>
      </c>
      <c r="B60" s="1"/>
      <c r="C60" s="1"/>
      <c r="D60" s="1"/>
      <c r="E60" s="1"/>
      <c r="F60" s="1"/>
      <c r="G60" s="1"/>
      <c r="H60" s="1"/>
      <c r="I60" s="1"/>
      <c r="J60" s="1"/>
      <c r="K60" s="2" t="s">
        <v>1</v>
      </c>
      <c r="L60" s="2"/>
      <c r="M60" s="2"/>
      <c r="N60" s="2"/>
      <c r="O60" s="2"/>
      <c r="P60" s="2"/>
      <c r="Q60" s="2"/>
      <c r="R60" s="2"/>
      <c r="S60" s="2"/>
      <c r="T60" s="1" t="s">
        <v>2</v>
      </c>
      <c r="U60" s="1"/>
      <c r="V60" s="1"/>
      <c r="W60" s="1"/>
      <c r="X60" s="1"/>
      <c r="Y60" s="1" t="s">
        <v>3</v>
      </c>
      <c r="Z60" s="1"/>
      <c r="AA60" s="285" t="s">
        <v>77</v>
      </c>
      <c r="AB60" s="285"/>
      <c r="AC60" s="285"/>
      <c r="AD60" s="285"/>
      <c r="AE60" s="285"/>
      <c r="AF60" s="285"/>
      <c r="AG60" s="285"/>
    </row>
    <row r="61" spans="1:33" x14ac:dyDescent="0.2">
      <c r="A61" s="60" t="s">
        <v>5</v>
      </c>
      <c r="B61" s="60"/>
      <c r="C61" s="60"/>
      <c r="D61" s="60"/>
      <c r="E61" s="60"/>
      <c r="F61" s="6"/>
      <c r="G61" s="60"/>
      <c r="H61" s="60"/>
      <c r="I61" s="60"/>
      <c r="J61" s="4"/>
      <c r="K61" s="3">
        <v>2025</v>
      </c>
      <c r="L61" s="3"/>
      <c r="M61" s="5"/>
      <c r="N61" s="5"/>
      <c r="O61" s="5"/>
      <c r="P61" s="5"/>
      <c r="Q61" s="5"/>
      <c r="R61" s="5"/>
      <c r="S61" s="5"/>
      <c r="T61" s="6" t="s">
        <v>6</v>
      </c>
      <c r="U61" s="4"/>
      <c r="V61" s="4"/>
      <c r="W61" s="4"/>
      <c r="X61" s="4"/>
      <c r="Y61" s="6" t="s">
        <v>7</v>
      </c>
      <c r="Z61" s="4"/>
      <c r="AA61" s="285"/>
      <c r="AB61" s="285"/>
      <c r="AC61" s="285"/>
      <c r="AD61" s="285"/>
      <c r="AE61" s="285"/>
      <c r="AF61" s="285"/>
      <c r="AG61" s="285"/>
    </row>
    <row r="62" spans="1:33" x14ac:dyDescent="0.2">
      <c r="A62" s="277">
        <v>46023</v>
      </c>
      <c r="B62" s="9" t="s">
        <v>8</v>
      </c>
      <c r="C62" s="9" t="s">
        <v>9</v>
      </c>
      <c r="D62" s="10" t="s">
        <v>78</v>
      </c>
      <c r="E62" s="10" t="s">
        <v>11</v>
      </c>
      <c r="F62" s="9" t="s">
        <v>12</v>
      </c>
      <c r="G62" s="9" t="s">
        <v>13</v>
      </c>
      <c r="H62" s="9" t="s">
        <v>14</v>
      </c>
      <c r="I62" s="9" t="s">
        <v>8</v>
      </c>
      <c r="J62" s="9" t="s">
        <v>9</v>
      </c>
      <c r="K62" s="10" t="s">
        <v>78</v>
      </c>
      <c r="L62" s="10" t="s">
        <v>11</v>
      </c>
      <c r="M62" s="9" t="s">
        <v>12</v>
      </c>
      <c r="N62" s="9" t="s">
        <v>13</v>
      </c>
      <c r="O62" s="9" t="s">
        <v>14</v>
      </c>
      <c r="P62" s="9" t="s">
        <v>8</v>
      </c>
      <c r="Q62" s="9" t="s">
        <v>9</v>
      </c>
      <c r="R62" s="10" t="s">
        <v>78</v>
      </c>
      <c r="S62" s="10" t="s">
        <v>11</v>
      </c>
      <c r="T62" s="50" t="s">
        <v>12</v>
      </c>
      <c r="U62" s="9" t="s">
        <v>13</v>
      </c>
      <c r="V62" s="9" t="s">
        <v>14</v>
      </c>
      <c r="W62" s="9" t="s">
        <v>8</v>
      </c>
      <c r="X62" s="9" t="s">
        <v>9</v>
      </c>
      <c r="Y62" s="35" t="s">
        <v>78</v>
      </c>
      <c r="Z62" s="35" t="s">
        <v>11</v>
      </c>
      <c r="AA62" s="36" t="s">
        <v>12</v>
      </c>
      <c r="AB62" s="34" t="s">
        <v>13</v>
      </c>
      <c r="AC62" s="34" t="s">
        <v>14</v>
      </c>
      <c r="AD62" s="34" t="s">
        <v>8</v>
      </c>
      <c r="AE62" s="34" t="s">
        <v>9</v>
      </c>
      <c r="AF62" s="109" t="s">
        <v>78</v>
      </c>
      <c r="AG62" s="281" t="s">
        <v>79</v>
      </c>
    </row>
    <row r="63" spans="1:33" x14ac:dyDescent="0.2">
      <c r="A63" s="278"/>
      <c r="B63" s="13">
        <v>1</v>
      </c>
      <c r="C63" s="13">
        <v>2</v>
      </c>
      <c r="D63" s="14">
        <v>3</v>
      </c>
      <c r="E63" s="14">
        <v>4</v>
      </c>
      <c r="F63" s="13">
        <v>5</v>
      </c>
      <c r="G63" s="13">
        <v>6</v>
      </c>
      <c r="H63" s="13">
        <v>7</v>
      </c>
      <c r="I63" s="13">
        <v>8</v>
      </c>
      <c r="J63" s="15">
        <v>9</v>
      </c>
      <c r="K63" s="16">
        <v>10</v>
      </c>
      <c r="L63" s="14">
        <v>11</v>
      </c>
      <c r="M63" s="13">
        <v>12</v>
      </c>
      <c r="N63" s="13">
        <v>13</v>
      </c>
      <c r="O63" s="13">
        <v>14</v>
      </c>
      <c r="P63" s="13">
        <v>15</v>
      </c>
      <c r="Q63" s="13">
        <v>16</v>
      </c>
      <c r="R63" s="14">
        <v>17</v>
      </c>
      <c r="S63" s="14">
        <v>18</v>
      </c>
      <c r="T63" s="13">
        <v>19</v>
      </c>
      <c r="U63" s="13">
        <v>20</v>
      </c>
      <c r="V63" s="13">
        <v>21</v>
      </c>
      <c r="W63" s="13">
        <v>22</v>
      </c>
      <c r="X63" s="13">
        <v>23</v>
      </c>
      <c r="Y63" s="14">
        <v>24</v>
      </c>
      <c r="Z63" s="14">
        <v>25</v>
      </c>
      <c r="AA63" s="236">
        <v>26</v>
      </c>
      <c r="AB63" s="236">
        <v>27</v>
      </c>
      <c r="AC63" s="236">
        <v>28</v>
      </c>
      <c r="AD63" s="237">
        <v>29</v>
      </c>
      <c r="AE63" s="236">
        <v>30</v>
      </c>
      <c r="AF63" s="56">
        <v>31</v>
      </c>
      <c r="AG63" s="282"/>
    </row>
    <row r="64" spans="1:33" x14ac:dyDescent="0.2">
      <c r="A64" s="147" t="s">
        <v>15</v>
      </c>
      <c r="B64" s="201"/>
      <c r="C64" s="202"/>
      <c r="D64" s="23"/>
      <c r="E64" s="203"/>
      <c r="F64" s="283" t="s">
        <v>34</v>
      </c>
      <c r="G64" s="283"/>
      <c r="H64" s="283"/>
      <c r="I64" s="283"/>
      <c r="J64" s="283"/>
      <c r="K64" s="23"/>
      <c r="L64" s="203"/>
      <c r="M64" s="201"/>
      <c r="N64" s="201"/>
      <c r="O64" s="201"/>
      <c r="P64" s="201"/>
      <c r="Q64" s="202"/>
      <c r="R64" s="23"/>
      <c r="S64" s="203"/>
      <c r="T64" s="283" t="s">
        <v>80</v>
      </c>
      <c r="U64" s="283"/>
      <c r="V64" s="283"/>
      <c r="W64" s="283"/>
      <c r="X64" s="283"/>
      <c r="Y64" s="23"/>
      <c r="Z64" s="98"/>
      <c r="AA64" s="74"/>
      <c r="AB64" s="74"/>
      <c r="AC64" s="74"/>
      <c r="AD64" s="74"/>
      <c r="AE64" s="107"/>
      <c r="AF64" s="57"/>
      <c r="AG64" s="282"/>
    </row>
    <row r="65" spans="1:33" x14ac:dyDescent="0.2">
      <c r="A65" s="159" t="s">
        <v>16</v>
      </c>
      <c r="B65" s="204"/>
      <c r="C65" s="205"/>
      <c r="D65" s="167"/>
      <c r="E65" s="206"/>
      <c r="F65" s="284"/>
      <c r="G65" s="284"/>
      <c r="H65" s="284"/>
      <c r="I65" s="284"/>
      <c r="J65" s="284"/>
      <c r="K65" s="167"/>
      <c r="L65" s="206"/>
      <c r="M65" s="204"/>
      <c r="N65" s="204"/>
      <c r="O65" s="204"/>
      <c r="P65" s="204"/>
      <c r="Q65" s="205"/>
      <c r="R65" s="167"/>
      <c r="S65" s="206"/>
      <c r="T65" s="284"/>
      <c r="U65" s="284"/>
      <c r="V65" s="284"/>
      <c r="W65" s="284"/>
      <c r="X65" s="284"/>
      <c r="Y65" s="167"/>
      <c r="Z65" s="207"/>
      <c r="AA65" s="208"/>
      <c r="AB65" s="208"/>
      <c r="AC65" s="208"/>
      <c r="AD65" s="74"/>
      <c r="AE65" s="209"/>
      <c r="AF65" s="210"/>
      <c r="AG65" s="111"/>
    </row>
    <row r="66" spans="1:33" x14ac:dyDescent="0.2">
      <c r="A66" s="294">
        <v>46054</v>
      </c>
      <c r="B66" s="10" t="s">
        <v>11</v>
      </c>
      <c r="C66" s="9" t="s">
        <v>12</v>
      </c>
      <c r="D66" s="9" t="s">
        <v>13</v>
      </c>
      <c r="E66" s="9" t="s">
        <v>14</v>
      </c>
      <c r="F66" s="9" t="s">
        <v>8</v>
      </c>
      <c r="G66" s="9" t="s">
        <v>9</v>
      </c>
      <c r="H66" s="10" t="s">
        <v>78</v>
      </c>
      <c r="I66" s="10" t="s">
        <v>11</v>
      </c>
      <c r="J66" s="9" t="s">
        <v>12</v>
      </c>
      <c r="K66" s="96" t="s">
        <v>13</v>
      </c>
      <c r="L66" s="9" t="s">
        <v>14</v>
      </c>
      <c r="M66" s="9" t="s">
        <v>8</v>
      </c>
      <c r="N66" s="9" t="s">
        <v>9</v>
      </c>
      <c r="O66" s="10" t="s">
        <v>78</v>
      </c>
      <c r="P66" s="10" t="s">
        <v>11</v>
      </c>
      <c r="Q66" s="55" t="s">
        <v>12</v>
      </c>
      <c r="R66" s="55" t="s">
        <v>13</v>
      </c>
      <c r="S66" s="55" t="s">
        <v>14</v>
      </c>
      <c r="T66" s="9" t="s">
        <v>8</v>
      </c>
      <c r="U66" s="9" t="s">
        <v>9</v>
      </c>
      <c r="V66" s="10" t="s">
        <v>78</v>
      </c>
      <c r="W66" s="10" t="s">
        <v>11</v>
      </c>
      <c r="X66" s="50" t="s">
        <v>12</v>
      </c>
      <c r="Y66" s="9" t="s">
        <v>13</v>
      </c>
      <c r="Z66" s="9" t="s">
        <v>14</v>
      </c>
      <c r="AA66" s="9" t="s">
        <v>8</v>
      </c>
      <c r="AB66" s="9" t="s">
        <v>9</v>
      </c>
      <c r="AC66" s="10" t="s">
        <v>78</v>
      </c>
      <c r="AD66" s="249"/>
      <c r="AE66" s="10"/>
      <c r="AF66" s="115"/>
      <c r="AG66" s="281" t="s">
        <v>79</v>
      </c>
    </row>
    <row r="67" spans="1:33" x14ac:dyDescent="0.2">
      <c r="A67" s="293"/>
      <c r="B67" s="14">
        <v>1</v>
      </c>
      <c r="C67" s="110"/>
      <c r="D67" s="110"/>
      <c r="E67" s="110"/>
      <c r="F67" s="110"/>
      <c r="G67" s="13">
        <v>6</v>
      </c>
      <c r="H67" s="14">
        <v>7</v>
      </c>
      <c r="I67" s="14">
        <v>8</v>
      </c>
      <c r="J67" s="15">
        <v>9</v>
      </c>
      <c r="K67" s="97">
        <v>10</v>
      </c>
      <c r="L67" s="13">
        <v>11</v>
      </c>
      <c r="M67" s="13">
        <v>12</v>
      </c>
      <c r="N67" s="106">
        <v>13</v>
      </c>
      <c r="O67" s="14">
        <v>14</v>
      </c>
      <c r="P67" s="14">
        <v>15</v>
      </c>
      <c r="Q67" s="106">
        <v>16</v>
      </c>
      <c r="R67" s="106">
        <v>17</v>
      </c>
      <c r="S67" s="106">
        <v>18</v>
      </c>
      <c r="T67" s="13">
        <v>19</v>
      </c>
      <c r="U67" s="13">
        <v>20</v>
      </c>
      <c r="V67" s="14">
        <v>21</v>
      </c>
      <c r="W67" s="14">
        <v>22</v>
      </c>
      <c r="X67" s="13">
        <v>23</v>
      </c>
      <c r="Y67" s="13">
        <v>24</v>
      </c>
      <c r="Z67" s="13">
        <v>25</v>
      </c>
      <c r="AA67" s="13">
        <v>26</v>
      </c>
      <c r="AB67" s="13">
        <v>27</v>
      </c>
      <c r="AC67" s="14">
        <v>28</v>
      </c>
      <c r="AD67" s="46"/>
      <c r="AE67" s="14"/>
      <c r="AF67" s="56"/>
      <c r="AG67" s="282"/>
    </row>
    <row r="68" spans="1:33" x14ac:dyDescent="0.2">
      <c r="A68" s="39" t="s">
        <v>15</v>
      </c>
      <c r="B68" s="98"/>
      <c r="C68" s="74"/>
      <c r="D68" s="74"/>
      <c r="E68" s="74"/>
      <c r="F68" s="74"/>
      <c r="G68" s="107"/>
      <c r="H68" s="238"/>
      <c r="I68" s="99"/>
      <c r="J68" s="74"/>
      <c r="K68" s="74"/>
      <c r="L68" s="74"/>
      <c r="M68" s="74"/>
      <c r="N68" s="118"/>
      <c r="O68" s="23"/>
      <c r="P68" s="112"/>
      <c r="Q68" s="117" t="s">
        <v>81</v>
      </c>
      <c r="R68" s="117"/>
      <c r="S68" s="117"/>
      <c r="T68" s="99"/>
      <c r="U68" s="107"/>
      <c r="V68" s="238"/>
      <c r="W68" s="239"/>
      <c r="X68" s="74"/>
      <c r="Y68" s="74"/>
      <c r="Z68" s="74"/>
      <c r="AA68" s="74"/>
      <c r="AB68" s="107"/>
      <c r="AC68" s="23"/>
      <c r="AD68" s="146"/>
      <c r="AE68" s="146"/>
      <c r="AF68" s="145"/>
      <c r="AG68" s="282"/>
    </row>
    <row r="69" spans="1:33" x14ac:dyDescent="0.2">
      <c r="A69" s="211" t="s">
        <v>16</v>
      </c>
      <c r="B69" s="207"/>
      <c r="C69" s="212"/>
      <c r="D69" s="212"/>
      <c r="E69" s="212"/>
      <c r="F69" s="212"/>
      <c r="G69" s="209"/>
      <c r="H69" s="178"/>
      <c r="I69" s="212"/>
      <c r="J69" s="208"/>
      <c r="K69" s="208"/>
      <c r="L69" s="208"/>
      <c r="M69" s="208"/>
      <c r="N69" s="218"/>
      <c r="O69" s="167"/>
      <c r="P69" s="213"/>
      <c r="Q69" s="214"/>
      <c r="R69" s="214"/>
      <c r="S69" s="214"/>
      <c r="T69" s="212"/>
      <c r="U69" s="209"/>
      <c r="V69" s="178"/>
      <c r="W69" s="240"/>
      <c r="X69" s="208"/>
      <c r="Y69" s="208"/>
      <c r="Z69" s="208"/>
      <c r="AA69" s="208"/>
      <c r="AB69" s="209"/>
      <c r="AC69" s="167"/>
      <c r="AD69" s="215"/>
      <c r="AE69" s="215"/>
      <c r="AF69" s="216"/>
      <c r="AG69" s="111"/>
    </row>
    <row r="70" spans="1:33" x14ac:dyDescent="0.2">
      <c r="A70" s="294">
        <v>46082</v>
      </c>
      <c r="B70" s="10" t="s">
        <v>11</v>
      </c>
      <c r="C70" s="9" t="s">
        <v>12</v>
      </c>
      <c r="D70" s="9" t="s">
        <v>13</v>
      </c>
      <c r="E70" s="9" t="s">
        <v>14</v>
      </c>
      <c r="F70" s="9" t="s">
        <v>8</v>
      </c>
      <c r="G70" s="9" t="s">
        <v>9</v>
      </c>
      <c r="H70" s="9" t="s">
        <v>78</v>
      </c>
      <c r="I70" s="9" t="s">
        <v>11</v>
      </c>
      <c r="J70" s="9" t="s">
        <v>12</v>
      </c>
      <c r="K70" s="9" t="s">
        <v>13</v>
      </c>
      <c r="L70" s="9" t="s">
        <v>14</v>
      </c>
      <c r="M70" s="9" t="s">
        <v>8</v>
      </c>
      <c r="N70" s="9" t="s">
        <v>9</v>
      </c>
      <c r="O70" s="10" t="s">
        <v>78</v>
      </c>
      <c r="P70" s="10" t="s">
        <v>11</v>
      </c>
      <c r="Q70" s="9" t="s">
        <v>12</v>
      </c>
      <c r="R70" s="9" t="s">
        <v>13</v>
      </c>
      <c r="S70" s="9" t="s">
        <v>14</v>
      </c>
      <c r="T70" s="9" t="s">
        <v>8</v>
      </c>
      <c r="U70" s="9" t="s">
        <v>9</v>
      </c>
      <c r="V70" s="10" t="s">
        <v>78</v>
      </c>
      <c r="W70" s="10" t="s">
        <v>11</v>
      </c>
      <c r="X70" s="9" t="s">
        <v>12</v>
      </c>
      <c r="Y70" s="9" t="s">
        <v>13</v>
      </c>
      <c r="Z70" s="9" t="s">
        <v>14</v>
      </c>
      <c r="AA70" s="9" t="s">
        <v>8</v>
      </c>
      <c r="AB70" s="9" t="s">
        <v>9</v>
      </c>
      <c r="AC70" s="10" t="s">
        <v>78</v>
      </c>
      <c r="AD70" s="10" t="s">
        <v>11</v>
      </c>
      <c r="AE70" s="9" t="s">
        <v>12</v>
      </c>
      <c r="AF70" s="51" t="s">
        <v>13</v>
      </c>
      <c r="AG70" s="281" t="s">
        <v>79</v>
      </c>
    </row>
    <row r="71" spans="1:33" x14ac:dyDescent="0.2">
      <c r="A71" s="293"/>
      <c r="B71" s="14">
        <v>1</v>
      </c>
      <c r="C71" s="13">
        <v>2</v>
      </c>
      <c r="D71" s="13">
        <v>3</v>
      </c>
      <c r="E71" s="13">
        <v>4</v>
      </c>
      <c r="F71" s="13">
        <v>5</v>
      </c>
      <c r="G71" s="13">
        <v>6</v>
      </c>
      <c r="H71" s="13">
        <v>7</v>
      </c>
      <c r="I71" s="13">
        <v>8</v>
      </c>
      <c r="J71" s="15">
        <v>9</v>
      </c>
      <c r="K71" s="15">
        <v>10</v>
      </c>
      <c r="L71" s="13">
        <v>11</v>
      </c>
      <c r="M71" s="13">
        <v>12</v>
      </c>
      <c r="N71" s="13">
        <v>13</v>
      </c>
      <c r="O71" s="14">
        <v>14</v>
      </c>
      <c r="P71" s="14">
        <v>15</v>
      </c>
      <c r="Q71" s="13">
        <v>16</v>
      </c>
      <c r="R71" s="13">
        <v>17</v>
      </c>
      <c r="S71" s="13">
        <v>18</v>
      </c>
      <c r="T71" s="13">
        <v>19</v>
      </c>
      <c r="U71" s="13">
        <v>20</v>
      </c>
      <c r="V71" s="14">
        <v>21</v>
      </c>
      <c r="W71" s="14">
        <v>22</v>
      </c>
      <c r="X71" s="13">
        <v>23</v>
      </c>
      <c r="Y71" s="13">
        <v>24</v>
      </c>
      <c r="Z71" s="13">
        <v>25</v>
      </c>
      <c r="AA71" s="13">
        <v>26</v>
      </c>
      <c r="AB71" s="13">
        <v>27</v>
      </c>
      <c r="AC71" s="14">
        <v>28</v>
      </c>
      <c r="AD71" s="46">
        <v>29</v>
      </c>
      <c r="AE71" s="13">
        <v>30</v>
      </c>
      <c r="AF71" s="38">
        <v>31</v>
      </c>
      <c r="AG71" s="282"/>
    </row>
    <row r="72" spans="1:33" x14ac:dyDescent="0.2">
      <c r="A72" s="39" t="s">
        <v>15</v>
      </c>
      <c r="B72" s="113"/>
      <c r="C72" s="74"/>
      <c r="D72" s="74"/>
      <c r="E72" s="74"/>
      <c r="F72" s="74"/>
      <c r="G72" s="107"/>
      <c r="H72" s="124"/>
      <c r="I72" s="124"/>
      <c r="J72" s="74"/>
      <c r="K72" s="74"/>
      <c r="L72" s="74"/>
      <c r="M72" s="74"/>
      <c r="N72" s="74"/>
      <c r="O72" s="113"/>
      <c r="P72" s="113"/>
      <c r="Q72" s="74" t="s">
        <v>75</v>
      </c>
      <c r="R72" s="74" t="s">
        <v>75</v>
      </c>
      <c r="S72" s="74" t="s">
        <v>75</v>
      </c>
      <c r="T72" s="74" t="s">
        <v>75</v>
      </c>
      <c r="U72" s="74" t="s">
        <v>75</v>
      </c>
      <c r="V72" s="113"/>
      <c r="W72" s="113"/>
      <c r="X72" s="74" t="s">
        <v>75</v>
      </c>
      <c r="Y72" s="74" t="s">
        <v>75</v>
      </c>
      <c r="Z72" s="74" t="s">
        <v>75</v>
      </c>
      <c r="AA72" s="74" t="s">
        <v>75</v>
      </c>
      <c r="AB72" s="74" t="s">
        <v>75</v>
      </c>
      <c r="AC72" s="113"/>
      <c r="AD72" s="113"/>
      <c r="AE72" s="74" t="s">
        <v>75</v>
      </c>
      <c r="AF72" s="74" t="s">
        <v>75</v>
      </c>
      <c r="AG72" s="282"/>
    </row>
    <row r="73" spans="1:33" x14ac:dyDescent="0.2">
      <c r="A73" s="211" t="s">
        <v>16</v>
      </c>
      <c r="B73" s="217"/>
      <c r="C73" s="208"/>
      <c r="D73" s="208"/>
      <c r="E73" s="208"/>
      <c r="F73" s="208"/>
      <c r="G73" s="209"/>
      <c r="H73" s="224"/>
      <c r="I73" s="224"/>
      <c r="J73" s="208"/>
      <c r="K73" s="208"/>
      <c r="L73" s="208"/>
      <c r="M73" s="208"/>
      <c r="N73" s="208"/>
      <c r="O73" s="217"/>
      <c r="P73" s="217"/>
      <c r="Q73" s="208" t="s">
        <v>75</v>
      </c>
      <c r="R73" s="208" t="s">
        <v>75</v>
      </c>
      <c r="S73" s="208" t="s">
        <v>75</v>
      </c>
      <c r="T73" s="208" t="s">
        <v>75</v>
      </c>
      <c r="U73" s="208" t="s">
        <v>75</v>
      </c>
      <c r="V73" s="217"/>
      <c r="W73" s="217"/>
      <c r="X73" s="208" t="s">
        <v>75</v>
      </c>
      <c r="Y73" s="208" t="s">
        <v>75</v>
      </c>
      <c r="Z73" s="208" t="s">
        <v>75</v>
      </c>
      <c r="AA73" s="208" t="s">
        <v>75</v>
      </c>
      <c r="AB73" s="208" t="s">
        <v>75</v>
      </c>
      <c r="AC73" s="217"/>
      <c r="AD73" s="217"/>
      <c r="AE73" s="208" t="s">
        <v>75</v>
      </c>
      <c r="AF73" s="208" t="s">
        <v>75</v>
      </c>
      <c r="AG73" s="111">
        <v>48</v>
      </c>
    </row>
    <row r="74" spans="1:33" x14ac:dyDescent="0.2">
      <c r="A74" s="294">
        <v>46113</v>
      </c>
      <c r="B74" s="9" t="s">
        <v>14</v>
      </c>
      <c r="C74" s="55" t="s">
        <v>8</v>
      </c>
      <c r="D74" s="55" t="s">
        <v>9</v>
      </c>
      <c r="E74" s="10" t="s">
        <v>78</v>
      </c>
      <c r="F74" s="10" t="s">
        <v>11</v>
      </c>
      <c r="G74" s="9" t="s">
        <v>12</v>
      </c>
      <c r="H74" s="9" t="s">
        <v>13</v>
      </c>
      <c r="I74" s="9" t="s">
        <v>14</v>
      </c>
      <c r="J74" s="9" t="s">
        <v>8</v>
      </c>
      <c r="K74" s="9" t="s">
        <v>9</v>
      </c>
      <c r="L74" s="10" t="s">
        <v>78</v>
      </c>
      <c r="M74" s="10" t="s">
        <v>11</v>
      </c>
      <c r="N74" s="9" t="s">
        <v>12</v>
      </c>
      <c r="O74" s="9" t="s">
        <v>13</v>
      </c>
      <c r="P74" s="9" t="s">
        <v>14</v>
      </c>
      <c r="Q74" s="9" t="s">
        <v>8</v>
      </c>
      <c r="R74" s="9" t="s">
        <v>9</v>
      </c>
      <c r="S74" s="10" t="s">
        <v>78</v>
      </c>
      <c r="T74" s="10" t="s">
        <v>11</v>
      </c>
      <c r="U74" s="55" t="s">
        <v>12</v>
      </c>
      <c r="V74" s="55" t="s">
        <v>13</v>
      </c>
      <c r="W74" s="9" t="s">
        <v>14</v>
      </c>
      <c r="X74" s="9" t="s">
        <v>8</v>
      </c>
      <c r="Y74" s="9" t="s">
        <v>9</v>
      </c>
      <c r="Z74" s="10" t="s">
        <v>78</v>
      </c>
      <c r="AA74" s="10" t="s">
        <v>11</v>
      </c>
      <c r="AB74" s="9" t="s">
        <v>12</v>
      </c>
      <c r="AC74" s="9" t="s">
        <v>13</v>
      </c>
      <c r="AD74" s="9" t="s">
        <v>14</v>
      </c>
      <c r="AE74" s="9" t="s">
        <v>8</v>
      </c>
      <c r="AF74" s="115"/>
      <c r="AG74" s="281" t="s">
        <v>79</v>
      </c>
    </row>
    <row r="75" spans="1:33" x14ac:dyDescent="0.2">
      <c r="A75" s="293"/>
      <c r="B75" s="13">
        <v>1</v>
      </c>
      <c r="C75" s="106">
        <v>2</v>
      </c>
      <c r="D75" s="106">
        <v>3</v>
      </c>
      <c r="E75" s="14">
        <v>4</v>
      </c>
      <c r="F75" s="14">
        <v>5</v>
      </c>
      <c r="G75" s="13">
        <v>6</v>
      </c>
      <c r="H75" s="13">
        <v>7</v>
      </c>
      <c r="I75" s="13">
        <v>8</v>
      </c>
      <c r="J75" s="15">
        <v>9</v>
      </c>
      <c r="K75" s="15">
        <v>10</v>
      </c>
      <c r="L75" s="14">
        <v>11</v>
      </c>
      <c r="M75" s="14">
        <v>12</v>
      </c>
      <c r="N75" s="13">
        <v>13</v>
      </c>
      <c r="O75" s="13">
        <v>14</v>
      </c>
      <c r="P75" s="13">
        <v>15</v>
      </c>
      <c r="Q75" s="13">
        <v>16</v>
      </c>
      <c r="R75" s="13">
        <v>17</v>
      </c>
      <c r="S75" s="14">
        <v>18</v>
      </c>
      <c r="T75" s="14">
        <v>19</v>
      </c>
      <c r="U75" s="106">
        <v>20</v>
      </c>
      <c r="V75" s="106">
        <v>21</v>
      </c>
      <c r="W75" s="13">
        <v>22</v>
      </c>
      <c r="X75" s="13">
        <v>23</v>
      </c>
      <c r="Y75" s="13">
        <v>24</v>
      </c>
      <c r="Z75" s="14">
        <v>25</v>
      </c>
      <c r="AA75" s="14">
        <v>26</v>
      </c>
      <c r="AB75" s="13">
        <v>27</v>
      </c>
      <c r="AC75" s="13">
        <v>28</v>
      </c>
      <c r="AD75" s="18">
        <v>29</v>
      </c>
      <c r="AE75" s="13">
        <v>30</v>
      </c>
      <c r="AF75" s="56"/>
      <c r="AG75" s="282"/>
    </row>
    <row r="76" spans="1:33" x14ac:dyDescent="0.2">
      <c r="A76" s="39" t="s">
        <v>15</v>
      </c>
      <c r="B76" s="74" t="s">
        <v>75</v>
      </c>
      <c r="C76" s="148"/>
      <c r="D76" s="123"/>
      <c r="E76" s="113"/>
      <c r="F76" s="114"/>
      <c r="G76" s="74" t="s">
        <v>75</v>
      </c>
      <c r="H76" s="74" t="s">
        <v>75</v>
      </c>
      <c r="I76" s="74" t="s">
        <v>75</v>
      </c>
      <c r="J76" s="74" t="s">
        <v>75</v>
      </c>
      <c r="K76" s="74" t="s">
        <v>75</v>
      </c>
      <c r="L76" s="114"/>
      <c r="M76" s="114"/>
      <c r="N76" s="74" t="s">
        <v>75</v>
      </c>
      <c r="O76" s="74" t="s">
        <v>75</v>
      </c>
      <c r="P76" s="74" t="s">
        <v>75</v>
      </c>
      <c r="Q76" s="74" t="s">
        <v>75</v>
      </c>
      <c r="R76" s="74" t="s">
        <v>75</v>
      </c>
      <c r="S76" s="114"/>
      <c r="T76" s="114"/>
      <c r="U76" s="144"/>
      <c r="V76" s="40"/>
      <c r="W76" s="74" t="s">
        <v>75</v>
      </c>
      <c r="X76" s="74" t="s">
        <v>75</v>
      </c>
      <c r="Y76" s="74" t="s">
        <v>75</v>
      </c>
      <c r="Z76" s="114"/>
      <c r="AA76" s="114"/>
      <c r="AB76" s="74" t="s">
        <v>75</v>
      </c>
      <c r="AC76" s="74" t="s">
        <v>75</v>
      </c>
      <c r="AD76" s="74" t="s">
        <v>75</v>
      </c>
      <c r="AE76" s="74" t="s">
        <v>75</v>
      </c>
      <c r="AF76" s="145"/>
      <c r="AG76" s="282"/>
    </row>
    <row r="77" spans="1:33" x14ac:dyDescent="0.2">
      <c r="A77" s="211" t="s">
        <v>16</v>
      </c>
      <c r="B77" s="208" t="s">
        <v>75</v>
      </c>
      <c r="C77" s="219"/>
      <c r="D77" s="220"/>
      <c r="E77" s="217"/>
      <c r="F77" s="221"/>
      <c r="G77" s="208" t="s">
        <v>75</v>
      </c>
      <c r="H77" s="208" t="s">
        <v>75</v>
      </c>
      <c r="I77" s="208" t="s">
        <v>75</v>
      </c>
      <c r="J77" s="208" t="s">
        <v>75</v>
      </c>
      <c r="K77" s="208" t="s">
        <v>75</v>
      </c>
      <c r="L77" s="221"/>
      <c r="M77" s="221"/>
      <c r="N77" s="208" t="s">
        <v>75</v>
      </c>
      <c r="O77" s="208" t="s">
        <v>75</v>
      </c>
      <c r="P77" s="208" t="s">
        <v>75</v>
      </c>
      <c r="Q77" s="208" t="s">
        <v>75</v>
      </c>
      <c r="R77" s="208" t="s">
        <v>75</v>
      </c>
      <c r="S77" s="221"/>
      <c r="T77" s="221"/>
      <c r="U77" s="222"/>
      <c r="V77" s="223"/>
      <c r="W77" s="208" t="s">
        <v>75</v>
      </c>
      <c r="X77" s="208" t="s">
        <v>75</v>
      </c>
      <c r="Y77" s="208" t="s">
        <v>75</v>
      </c>
      <c r="Z77" s="221"/>
      <c r="AA77" s="221"/>
      <c r="AB77" s="208" t="s">
        <v>75</v>
      </c>
      <c r="AC77" s="208" t="s">
        <v>75</v>
      </c>
      <c r="AD77" s="208" t="s">
        <v>75</v>
      </c>
      <c r="AE77" s="208" t="s">
        <v>75</v>
      </c>
      <c r="AF77" s="216"/>
      <c r="AG77" s="111">
        <v>72</v>
      </c>
    </row>
    <row r="78" spans="1:33" x14ac:dyDescent="0.2">
      <c r="A78" s="294">
        <v>46143</v>
      </c>
      <c r="B78" s="9" t="s">
        <v>9</v>
      </c>
      <c r="C78" s="10" t="s">
        <v>78</v>
      </c>
      <c r="D78" s="10" t="s">
        <v>11</v>
      </c>
      <c r="E78" s="9" t="s">
        <v>12</v>
      </c>
      <c r="F78" s="9" t="s">
        <v>13</v>
      </c>
      <c r="G78" s="9" t="s">
        <v>14</v>
      </c>
      <c r="H78" s="9" t="s">
        <v>8</v>
      </c>
      <c r="I78" s="9" t="s">
        <v>9</v>
      </c>
      <c r="J78" s="10" t="s">
        <v>78</v>
      </c>
      <c r="K78" s="10" t="s">
        <v>11</v>
      </c>
      <c r="L78" s="9" t="s">
        <v>12</v>
      </c>
      <c r="M78" s="9" t="s">
        <v>13</v>
      </c>
      <c r="N78" s="9" t="s">
        <v>14</v>
      </c>
      <c r="O78" s="9" t="s">
        <v>8</v>
      </c>
      <c r="P78" s="9" t="s">
        <v>9</v>
      </c>
      <c r="Q78" s="10" t="s">
        <v>78</v>
      </c>
      <c r="R78" s="10" t="s">
        <v>11</v>
      </c>
      <c r="S78" s="9" t="s">
        <v>12</v>
      </c>
      <c r="T78" s="9" t="s">
        <v>13</v>
      </c>
      <c r="U78" s="9" t="s">
        <v>14</v>
      </c>
      <c r="V78" s="9" t="s">
        <v>8</v>
      </c>
      <c r="W78" s="9" t="s">
        <v>9</v>
      </c>
      <c r="X78" s="10" t="s">
        <v>78</v>
      </c>
      <c r="Y78" s="10" t="s">
        <v>11</v>
      </c>
      <c r="Z78" s="9" t="s">
        <v>12</v>
      </c>
      <c r="AA78" s="9" t="s">
        <v>13</v>
      </c>
      <c r="AB78" s="9" t="s">
        <v>14</v>
      </c>
      <c r="AC78" s="9" t="s">
        <v>8</v>
      </c>
      <c r="AD78" s="9" t="s">
        <v>9</v>
      </c>
      <c r="AE78" s="10" t="s">
        <v>78</v>
      </c>
      <c r="AF78" s="115" t="s">
        <v>11</v>
      </c>
      <c r="AG78" s="250"/>
    </row>
    <row r="79" spans="1:33" x14ac:dyDescent="0.2">
      <c r="A79" s="294"/>
      <c r="B79" s="106">
        <v>1</v>
      </c>
      <c r="C79" s="14">
        <v>2</v>
      </c>
      <c r="D79" s="14">
        <v>3</v>
      </c>
      <c r="E79" s="13">
        <v>4</v>
      </c>
      <c r="F79" s="13">
        <v>5</v>
      </c>
      <c r="G79" s="13">
        <v>6</v>
      </c>
      <c r="H79" s="13">
        <v>7</v>
      </c>
      <c r="I79" s="13">
        <v>8</v>
      </c>
      <c r="J79" s="16">
        <v>9</v>
      </c>
      <c r="K79" s="16">
        <v>10</v>
      </c>
      <c r="L79" s="13">
        <v>11</v>
      </c>
      <c r="M79" s="13">
        <v>12</v>
      </c>
      <c r="N79" s="13">
        <v>13</v>
      </c>
      <c r="O79" s="13">
        <v>14</v>
      </c>
      <c r="P79" s="13">
        <v>15</v>
      </c>
      <c r="Q79" s="14">
        <v>16</v>
      </c>
      <c r="R79" s="14">
        <v>17</v>
      </c>
      <c r="S79" s="13">
        <v>18</v>
      </c>
      <c r="T79" s="13">
        <v>19</v>
      </c>
      <c r="U79" s="13">
        <v>20</v>
      </c>
      <c r="V79" s="13">
        <v>21</v>
      </c>
      <c r="W79" s="13">
        <v>22</v>
      </c>
      <c r="X79" s="14">
        <v>23</v>
      </c>
      <c r="Y79" s="14">
        <v>24</v>
      </c>
      <c r="Z79" s="13">
        <v>25</v>
      </c>
      <c r="AA79" s="13">
        <v>26</v>
      </c>
      <c r="AB79" s="13">
        <v>27</v>
      </c>
      <c r="AC79" s="13">
        <v>28</v>
      </c>
      <c r="AD79" s="18">
        <v>29</v>
      </c>
      <c r="AE79" s="14">
        <v>30</v>
      </c>
      <c r="AF79" s="56">
        <v>31</v>
      </c>
      <c r="AG79" s="234" t="s">
        <v>79</v>
      </c>
    </row>
    <row r="80" spans="1:33" x14ac:dyDescent="0.2">
      <c r="A80" s="39" t="s">
        <v>15</v>
      </c>
      <c r="B80" s="225"/>
      <c r="C80" s="114"/>
      <c r="D80" s="114"/>
      <c r="E80" s="231" t="s">
        <v>82</v>
      </c>
      <c r="F80" s="231" t="s">
        <v>82</v>
      </c>
      <c r="G80" s="231" t="s">
        <v>82</v>
      </c>
      <c r="H80" s="231" t="s">
        <v>82</v>
      </c>
      <c r="I80" s="231" t="s">
        <v>82</v>
      </c>
      <c r="J80" s="114"/>
      <c r="K80" s="114"/>
      <c r="L80" s="231" t="s">
        <v>82</v>
      </c>
      <c r="M80" s="232" t="s">
        <v>83</v>
      </c>
      <c r="N80" s="232" t="s">
        <v>83</v>
      </c>
      <c r="O80" s="232" t="s">
        <v>83</v>
      </c>
      <c r="P80" s="232" t="s">
        <v>83</v>
      </c>
      <c r="Q80" s="226"/>
      <c r="R80" s="226"/>
      <c r="S80" s="232" t="s">
        <v>83</v>
      </c>
      <c r="T80" s="233" t="s">
        <v>84</v>
      </c>
      <c r="U80" s="233" t="s">
        <v>84</v>
      </c>
      <c r="V80" s="233" t="s">
        <v>84</v>
      </c>
      <c r="W80" s="233" t="s">
        <v>84</v>
      </c>
      <c r="X80" s="226"/>
      <c r="Y80" s="226"/>
      <c r="Z80" s="233" t="s">
        <v>84</v>
      </c>
      <c r="AA80" s="233" t="s">
        <v>84</v>
      </c>
      <c r="AB80" s="233" t="s">
        <v>84</v>
      </c>
      <c r="AC80" s="233" t="s">
        <v>84</v>
      </c>
      <c r="AD80" s="233" t="s">
        <v>84</v>
      </c>
      <c r="AE80" s="226"/>
      <c r="AF80" s="116"/>
      <c r="AG80" s="235"/>
    </row>
    <row r="81" spans="1:33" x14ac:dyDescent="0.2">
      <c r="A81" s="211" t="s">
        <v>16</v>
      </c>
      <c r="B81" s="225"/>
      <c r="C81" s="114"/>
      <c r="D81" s="114"/>
      <c r="E81" s="231" t="s">
        <v>82</v>
      </c>
      <c r="F81" s="231" t="s">
        <v>82</v>
      </c>
      <c r="G81" s="231" t="s">
        <v>82</v>
      </c>
      <c r="H81" s="231" t="s">
        <v>82</v>
      </c>
      <c r="I81" s="231" t="s">
        <v>82</v>
      </c>
      <c r="J81" s="114"/>
      <c r="K81" s="114"/>
      <c r="L81" s="231" t="s">
        <v>82</v>
      </c>
      <c r="M81" s="232" t="s">
        <v>83</v>
      </c>
      <c r="N81" s="232" t="s">
        <v>83</v>
      </c>
      <c r="O81" s="232" t="s">
        <v>83</v>
      </c>
      <c r="P81" s="232" t="s">
        <v>83</v>
      </c>
      <c r="Q81" s="226"/>
      <c r="R81" s="226"/>
      <c r="S81" s="232" t="s">
        <v>83</v>
      </c>
      <c r="T81" s="233" t="s">
        <v>84</v>
      </c>
      <c r="U81" s="233" t="s">
        <v>84</v>
      </c>
      <c r="V81" s="233" t="s">
        <v>84</v>
      </c>
      <c r="W81" s="233" t="s">
        <v>84</v>
      </c>
      <c r="X81" s="254"/>
      <c r="Y81" s="254"/>
      <c r="Z81" s="233" t="s">
        <v>84</v>
      </c>
      <c r="AA81" s="233" t="s">
        <v>84</v>
      </c>
      <c r="AB81" s="233" t="s">
        <v>84</v>
      </c>
      <c r="AC81" s="233" t="s">
        <v>84</v>
      </c>
      <c r="AD81" s="233" t="s">
        <v>84</v>
      </c>
      <c r="AE81" s="226"/>
      <c r="AF81" s="229"/>
      <c r="AG81" s="235">
        <v>80</v>
      </c>
    </row>
    <row r="82" spans="1:33" x14ac:dyDescent="0.2">
      <c r="A82" s="277">
        <v>46174</v>
      </c>
      <c r="B82" s="251" t="s">
        <v>12</v>
      </c>
      <c r="C82" s="251" t="s">
        <v>13</v>
      </c>
      <c r="D82" s="251" t="s">
        <v>14</v>
      </c>
      <c r="E82" s="251" t="s">
        <v>8</v>
      </c>
      <c r="F82" s="251" t="s">
        <v>9</v>
      </c>
      <c r="G82" s="249" t="s">
        <v>78</v>
      </c>
      <c r="H82" s="249" t="s">
        <v>11</v>
      </c>
      <c r="I82" s="251" t="s">
        <v>12</v>
      </c>
      <c r="J82" s="251" t="s">
        <v>13</v>
      </c>
      <c r="K82" s="251" t="s">
        <v>14</v>
      </c>
      <c r="L82" s="251" t="s">
        <v>8</v>
      </c>
      <c r="M82" s="251" t="s">
        <v>9</v>
      </c>
      <c r="N82" s="249" t="s">
        <v>78</v>
      </c>
      <c r="O82" s="249" t="s">
        <v>11</v>
      </c>
      <c r="P82" s="251" t="s">
        <v>12</v>
      </c>
      <c r="Q82" s="251" t="s">
        <v>13</v>
      </c>
      <c r="R82" s="252" t="s">
        <v>14</v>
      </c>
      <c r="S82" s="251" t="s">
        <v>8</v>
      </c>
      <c r="T82" s="251" t="s">
        <v>9</v>
      </c>
      <c r="U82" s="249" t="s">
        <v>78</v>
      </c>
      <c r="V82" s="249" t="s">
        <v>11</v>
      </c>
      <c r="W82" s="251" t="s">
        <v>12</v>
      </c>
      <c r="X82" s="251" t="s">
        <v>13</v>
      </c>
      <c r="Y82" s="253" t="s">
        <v>14</v>
      </c>
      <c r="Z82" s="251" t="s">
        <v>8</v>
      </c>
      <c r="AA82" s="251" t="s">
        <v>9</v>
      </c>
      <c r="AB82" s="249" t="s">
        <v>78</v>
      </c>
      <c r="AC82" s="249" t="s">
        <v>11</v>
      </c>
      <c r="AD82" s="251" t="s">
        <v>12</v>
      </c>
      <c r="AE82" s="251" t="s">
        <v>13</v>
      </c>
      <c r="AF82" s="247"/>
      <c r="AG82" s="281" t="s">
        <v>79</v>
      </c>
    </row>
    <row r="83" spans="1:33" x14ac:dyDescent="0.2">
      <c r="A83" s="278"/>
      <c r="B83" s="13">
        <v>1</v>
      </c>
      <c r="C83" s="13">
        <v>2</v>
      </c>
      <c r="D83" s="13">
        <v>3</v>
      </c>
      <c r="E83" s="13">
        <v>4</v>
      </c>
      <c r="F83" s="13">
        <v>5</v>
      </c>
      <c r="G83" s="14">
        <v>6</v>
      </c>
      <c r="H83" s="14">
        <v>7</v>
      </c>
      <c r="I83" s="13">
        <v>8</v>
      </c>
      <c r="J83" s="15">
        <v>9</v>
      </c>
      <c r="K83" s="15">
        <v>10</v>
      </c>
      <c r="L83" s="13">
        <v>11</v>
      </c>
      <c r="M83" s="13">
        <v>12</v>
      </c>
      <c r="N83" s="14">
        <v>13</v>
      </c>
      <c r="O83" s="14">
        <v>14</v>
      </c>
      <c r="P83" s="13">
        <v>15</v>
      </c>
      <c r="Q83" s="13">
        <v>16</v>
      </c>
      <c r="R83" s="13">
        <v>17</v>
      </c>
      <c r="S83" s="13">
        <v>18</v>
      </c>
      <c r="T83" s="13">
        <v>19</v>
      </c>
      <c r="U83" s="14">
        <v>20</v>
      </c>
      <c r="V83" s="14">
        <v>21</v>
      </c>
      <c r="W83" s="13">
        <v>22</v>
      </c>
      <c r="X83" s="13">
        <v>23</v>
      </c>
      <c r="Y83" s="106">
        <v>24</v>
      </c>
      <c r="Z83" s="13">
        <v>25</v>
      </c>
      <c r="AA83" s="13">
        <v>26</v>
      </c>
      <c r="AB83" s="14">
        <v>27</v>
      </c>
      <c r="AC83" s="14">
        <v>28</v>
      </c>
      <c r="AD83" s="18">
        <v>29</v>
      </c>
      <c r="AE83" s="13">
        <v>30</v>
      </c>
      <c r="AF83" s="248"/>
      <c r="AG83" s="282"/>
    </row>
    <row r="84" spans="1:33" x14ac:dyDescent="0.2">
      <c r="A84" s="147" t="s">
        <v>15</v>
      </c>
      <c r="B84" s="233" t="s">
        <v>84</v>
      </c>
      <c r="C84" s="233" t="s">
        <v>84</v>
      </c>
      <c r="D84" s="233" t="s">
        <v>84</v>
      </c>
      <c r="E84" s="233" t="s">
        <v>84</v>
      </c>
      <c r="F84" s="233" t="s">
        <v>84</v>
      </c>
      <c r="G84" s="151"/>
      <c r="H84" s="152"/>
      <c r="I84" s="233" t="s">
        <v>84</v>
      </c>
      <c r="J84" s="242" t="s">
        <v>85</v>
      </c>
      <c r="K84" s="242" t="s">
        <v>85</v>
      </c>
      <c r="L84" s="242" t="s">
        <v>85</v>
      </c>
      <c r="M84" s="242" t="s">
        <v>85</v>
      </c>
      <c r="N84" s="155"/>
      <c r="O84" s="155"/>
      <c r="P84" s="242" t="s">
        <v>85</v>
      </c>
      <c r="Q84" s="242" t="s">
        <v>85</v>
      </c>
      <c r="R84" s="242" t="s">
        <v>85</v>
      </c>
      <c r="S84" s="242" t="s">
        <v>85</v>
      </c>
      <c r="T84" s="244" t="s">
        <v>86</v>
      </c>
      <c r="U84" s="155"/>
      <c r="V84" s="156"/>
      <c r="W84" s="244" t="s">
        <v>86</v>
      </c>
      <c r="X84" s="244" t="s">
        <v>86</v>
      </c>
      <c r="Y84" s="245"/>
      <c r="Z84" s="244" t="s">
        <v>86</v>
      </c>
      <c r="AA84" s="244" t="s">
        <v>86</v>
      </c>
      <c r="AB84" s="155"/>
      <c r="AC84" s="156"/>
      <c r="AD84" s="244" t="s">
        <v>86</v>
      </c>
      <c r="AE84" s="244" t="s">
        <v>86</v>
      </c>
      <c r="AF84" s="194"/>
      <c r="AG84" s="282"/>
    </row>
    <row r="85" spans="1:33" x14ac:dyDescent="0.2">
      <c r="A85" s="159" t="s">
        <v>16</v>
      </c>
      <c r="B85" s="241" t="s">
        <v>84</v>
      </c>
      <c r="C85" s="241" t="s">
        <v>84</v>
      </c>
      <c r="D85" s="241" t="s">
        <v>84</v>
      </c>
      <c r="E85" s="241" t="s">
        <v>84</v>
      </c>
      <c r="F85" s="241" t="s">
        <v>84</v>
      </c>
      <c r="G85" s="162"/>
      <c r="H85" s="163"/>
      <c r="I85" s="241" t="s">
        <v>84</v>
      </c>
      <c r="J85" s="243" t="s">
        <v>85</v>
      </c>
      <c r="K85" s="243" t="s">
        <v>85</v>
      </c>
      <c r="L85" s="243" t="s">
        <v>85</v>
      </c>
      <c r="M85" s="243" t="s">
        <v>85</v>
      </c>
      <c r="N85" s="166"/>
      <c r="O85" s="166"/>
      <c r="P85" s="243" t="s">
        <v>85</v>
      </c>
      <c r="Q85" s="243" t="s">
        <v>85</v>
      </c>
      <c r="R85" s="243" t="s">
        <v>85</v>
      </c>
      <c r="S85" s="227" t="s">
        <v>86</v>
      </c>
      <c r="T85" s="227" t="s">
        <v>86</v>
      </c>
      <c r="U85" s="166"/>
      <c r="V85" s="167"/>
      <c r="W85" s="227" t="s">
        <v>86</v>
      </c>
      <c r="X85" s="227" t="s">
        <v>86</v>
      </c>
      <c r="Y85" s="169"/>
      <c r="Z85" s="227" t="s">
        <v>86</v>
      </c>
      <c r="AA85" s="227" t="s">
        <v>86</v>
      </c>
      <c r="AB85" s="166"/>
      <c r="AC85" s="167"/>
      <c r="AD85" s="227" t="s">
        <v>86</v>
      </c>
      <c r="AE85" s="227" t="s">
        <v>86</v>
      </c>
      <c r="AF85" s="198"/>
      <c r="AG85" s="143">
        <f>(COUNTA(B84:AF85))*2</f>
        <v>84</v>
      </c>
    </row>
    <row r="86" spans="1:33" x14ac:dyDescent="0.2">
      <c r="A86" s="277">
        <v>46204</v>
      </c>
      <c r="B86" s="9" t="s">
        <v>14</v>
      </c>
      <c r="C86" s="9" t="s">
        <v>8</v>
      </c>
      <c r="D86" s="9" t="s">
        <v>9</v>
      </c>
      <c r="E86" s="10" t="s">
        <v>78</v>
      </c>
      <c r="F86" s="10" t="s">
        <v>11</v>
      </c>
      <c r="G86" s="9" t="s">
        <v>12</v>
      </c>
      <c r="H86" s="9" t="s">
        <v>13</v>
      </c>
      <c r="I86" s="9" t="s">
        <v>14</v>
      </c>
      <c r="J86" s="9" t="s">
        <v>8</v>
      </c>
      <c r="K86" s="9" t="s">
        <v>9</v>
      </c>
      <c r="L86" s="10" t="s">
        <v>78</v>
      </c>
      <c r="M86" s="10" t="s">
        <v>11</v>
      </c>
      <c r="N86" s="9" t="s">
        <v>12</v>
      </c>
      <c r="O86" s="9" t="s">
        <v>13</v>
      </c>
      <c r="P86" s="9" t="s">
        <v>14</v>
      </c>
      <c r="Q86" s="9" t="s">
        <v>8</v>
      </c>
      <c r="R86" s="9" t="s">
        <v>9</v>
      </c>
      <c r="S86" s="10" t="s">
        <v>78</v>
      </c>
      <c r="T86" s="10" t="s">
        <v>11</v>
      </c>
      <c r="U86" s="9" t="s">
        <v>12</v>
      </c>
      <c r="V86" s="9" t="s">
        <v>13</v>
      </c>
      <c r="W86" s="9" t="s">
        <v>14</v>
      </c>
      <c r="X86" s="50" t="s">
        <v>8</v>
      </c>
      <c r="Y86" s="9" t="s">
        <v>9</v>
      </c>
      <c r="Z86" s="10" t="s">
        <v>78</v>
      </c>
      <c r="AA86" s="10" t="s">
        <v>11</v>
      </c>
      <c r="AB86" s="9" t="s">
        <v>12</v>
      </c>
      <c r="AC86" s="9" t="s">
        <v>13</v>
      </c>
      <c r="AD86" s="9" t="s">
        <v>14</v>
      </c>
      <c r="AE86" s="50" t="s">
        <v>8</v>
      </c>
      <c r="AF86" s="9" t="s">
        <v>9</v>
      </c>
      <c r="AG86" s="281" t="s">
        <v>79</v>
      </c>
    </row>
    <row r="87" spans="1:33" x14ac:dyDescent="0.2">
      <c r="A87" s="278"/>
      <c r="B87" s="13">
        <v>1</v>
      </c>
      <c r="C87" s="13">
        <v>2</v>
      </c>
      <c r="D87" s="13">
        <v>3</v>
      </c>
      <c r="E87" s="14">
        <v>4</v>
      </c>
      <c r="F87" s="14">
        <v>5</v>
      </c>
      <c r="G87" s="13">
        <v>6</v>
      </c>
      <c r="H87" s="13">
        <v>7</v>
      </c>
      <c r="I87" s="13">
        <v>8</v>
      </c>
      <c r="J87" s="15">
        <v>9</v>
      </c>
      <c r="K87" s="15">
        <v>10</v>
      </c>
      <c r="L87" s="14">
        <v>11</v>
      </c>
      <c r="M87" s="14">
        <v>12</v>
      </c>
      <c r="N87" s="13">
        <v>13</v>
      </c>
      <c r="O87" s="13">
        <v>14</v>
      </c>
      <c r="P87" s="13">
        <v>15</v>
      </c>
      <c r="Q87" s="13">
        <v>16</v>
      </c>
      <c r="R87" s="13">
        <v>17</v>
      </c>
      <c r="S87" s="14">
        <v>18</v>
      </c>
      <c r="T87" s="14">
        <v>19</v>
      </c>
      <c r="U87" s="13">
        <v>20</v>
      </c>
      <c r="V87" s="13">
        <v>21</v>
      </c>
      <c r="W87" s="13">
        <v>22</v>
      </c>
      <c r="X87" s="13">
        <v>23</v>
      </c>
      <c r="Y87" s="13">
        <v>24</v>
      </c>
      <c r="Z87" s="14">
        <v>25</v>
      </c>
      <c r="AA87" s="14">
        <v>26</v>
      </c>
      <c r="AB87" s="13">
        <v>27</v>
      </c>
      <c r="AC87" s="13">
        <v>28</v>
      </c>
      <c r="AD87" s="18">
        <v>29</v>
      </c>
      <c r="AE87" s="13">
        <v>30</v>
      </c>
      <c r="AF87" s="38">
        <v>31</v>
      </c>
      <c r="AG87" s="282"/>
    </row>
    <row r="88" spans="1:33" x14ac:dyDescent="0.2">
      <c r="A88" s="147" t="s">
        <v>15</v>
      </c>
      <c r="B88" s="244" t="s">
        <v>86</v>
      </c>
      <c r="C88" s="244" t="s">
        <v>86</v>
      </c>
      <c r="D88" s="244" t="s">
        <v>86</v>
      </c>
      <c r="E88" s="151"/>
      <c r="F88" s="151"/>
      <c r="G88" s="283" t="s">
        <v>34</v>
      </c>
      <c r="H88" s="283"/>
      <c r="I88" s="283"/>
      <c r="J88" s="283"/>
      <c r="K88" s="283"/>
      <c r="L88" s="171"/>
      <c r="M88" s="171"/>
      <c r="N88" s="244" t="s">
        <v>86</v>
      </c>
      <c r="O88" s="244" t="s">
        <v>86</v>
      </c>
      <c r="P88" s="246" t="s">
        <v>30</v>
      </c>
      <c r="Q88" s="246" t="s">
        <v>30</v>
      </c>
      <c r="R88" s="246" t="s">
        <v>30</v>
      </c>
      <c r="S88" s="171"/>
      <c r="T88" s="171"/>
      <c r="U88" s="246" t="s">
        <v>30</v>
      </c>
      <c r="V88" s="246" t="s">
        <v>30</v>
      </c>
      <c r="W88" s="246" t="s">
        <v>30</v>
      </c>
      <c r="X88" s="246" t="s">
        <v>30</v>
      </c>
      <c r="Y88" s="200" t="s">
        <v>87</v>
      </c>
      <c r="Z88" s="174"/>
      <c r="AA88" s="175"/>
      <c r="AB88" s="200" t="s">
        <v>87</v>
      </c>
      <c r="AC88" s="200" t="s">
        <v>87</v>
      </c>
      <c r="AD88" s="200" t="s">
        <v>87</v>
      </c>
      <c r="AE88" s="200" t="s">
        <v>87</v>
      </c>
      <c r="AF88" s="200" t="s">
        <v>87</v>
      </c>
      <c r="AG88" s="282"/>
    </row>
    <row r="89" spans="1:33" x14ac:dyDescent="0.2">
      <c r="A89" s="159" t="s">
        <v>16</v>
      </c>
      <c r="B89" s="227" t="s">
        <v>86</v>
      </c>
      <c r="C89" s="227" t="s">
        <v>86</v>
      </c>
      <c r="D89" s="227" t="s">
        <v>86</v>
      </c>
      <c r="E89" s="162"/>
      <c r="F89" s="162"/>
      <c r="G89" s="284"/>
      <c r="H89" s="284"/>
      <c r="I89" s="284"/>
      <c r="J89" s="284"/>
      <c r="K89" s="284"/>
      <c r="L89" s="176"/>
      <c r="M89" s="176"/>
      <c r="N89" s="227" t="s">
        <v>86</v>
      </c>
      <c r="O89" s="228" t="s">
        <v>30</v>
      </c>
      <c r="P89" s="228" t="s">
        <v>30</v>
      </c>
      <c r="Q89" s="228" t="s">
        <v>30</v>
      </c>
      <c r="R89" s="228" t="s">
        <v>30</v>
      </c>
      <c r="S89" s="176"/>
      <c r="T89" s="176"/>
      <c r="U89" s="228" t="s">
        <v>30</v>
      </c>
      <c r="V89" s="228" t="s">
        <v>30</v>
      </c>
      <c r="W89" s="228" t="s">
        <v>30</v>
      </c>
      <c r="X89" s="228" t="s">
        <v>30</v>
      </c>
      <c r="Y89" s="230" t="s">
        <v>87</v>
      </c>
      <c r="Z89" s="179"/>
      <c r="AA89" s="180"/>
      <c r="AB89" s="230" t="s">
        <v>87</v>
      </c>
      <c r="AC89" s="230" t="s">
        <v>87</v>
      </c>
      <c r="AD89" s="230" t="s">
        <v>87</v>
      </c>
      <c r="AE89" s="230" t="s">
        <v>87</v>
      </c>
      <c r="AF89" s="230" t="s">
        <v>87</v>
      </c>
      <c r="AG89" s="143">
        <v>72</v>
      </c>
    </row>
    <row r="90" spans="1:33" x14ac:dyDescent="0.2">
      <c r="A90" s="277">
        <v>46235</v>
      </c>
      <c r="B90" s="10" t="s">
        <v>78</v>
      </c>
      <c r="C90" s="10" t="s">
        <v>11</v>
      </c>
      <c r="D90" s="9" t="s">
        <v>12</v>
      </c>
      <c r="E90" s="9" t="s">
        <v>13</v>
      </c>
      <c r="F90" s="9" t="s">
        <v>14</v>
      </c>
      <c r="G90" s="9" t="s">
        <v>8</v>
      </c>
      <c r="H90" s="9" t="s">
        <v>9</v>
      </c>
      <c r="I90" s="10" t="s">
        <v>78</v>
      </c>
      <c r="J90" s="10" t="s">
        <v>11</v>
      </c>
      <c r="K90" s="9" t="s">
        <v>12</v>
      </c>
      <c r="L90" s="9" t="s">
        <v>13</v>
      </c>
      <c r="M90" s="9" t="s">
        <v>14</v>
      </c>
      <c r="N90" s="9" t="s">
        <v>8</v>
      </c>
      <c r="O90" s="9" t="s">
        <v>9</v>
      </c>
      <c r="P90" s="10" t="s">
        <v>78</v>
      </c>
      <c r="Q90" s="10" t="s">
        <v>11</v>
      </c>
      <c r="R90" s="9" t="s">
        <v>12</v>
      </c>
      <c r="S90" s="9" t="s">
        <v>13</v>
      </c>
      <c r="T90" s="9" t="s">
        <v>14</v>
      </c>
      <c r="U90" s="50" t="s">
        <v>8</v>
      </c>
      <c r="V90" s="9" t="s">
        <v>9</v>
      </c>
      <c r="W90" s="10" t="s">
        <v>78</v>
      </c>
      <c r="X90" s="10" t="s">
        <v>11</v>
      </c>
      <c r="Y90" s="9" t="s">
        <v>12</v>
      </c>
      <c r="Z90" s="9" t="s">
        <v>13</v>
      </c>
      <c r="AA90" s="9" t="s">
        <v>14</v>
      </c>
      <c r="AB90" s="50" t="s">
        <v>8</v>
      </c>
      <c r="AC90" s="9" t="s">
        <v>9</v>
      </c>
      <c r="AD90" s="10" t="s">
        <v>78</v>
      </c>
      <c r="AE90" s="10" t="s">
        <v>11</v>
      </c>
      <c r="AF90" s="9" t="s">
        <v>12</v>
      </c>
      <c r="AG90" s="281" t="s">
        <v>79</v>
      </c>
    </row>
    <row r="91" spans="1:33" x14ac:dyDescent="0.2">
      <c r="A91" s="278"/>
      <c r="B91" s="14">
        <v>1</v>
      </c>
      <c r="C91" s="14">
        <v>2</v>
      </c>
      <c r="D91" s="13">
        <v>3</v>
      </c>
      <c r="E91" s="13">
        <v>4</v>
      </c>
      <c r="F91" s="13">
        <v>5</v>
      </c>
      <c r="G91" s="13">
        <v>6</v>
      </c>
      <c r="H91" s="13">
        <v>7</v>
      </c>
      <c r="I91" s="14">
        <v>8</v>
      </c>
      <c r="J91" s="16">
        <v>9</v>
      </c>
      <c r="K91" s="15">
        <v>10</v>
      </c>
      <c r="L91" s="13">
        <v>11</v>
      </c>
      <c r="M91" s="13">
        <v>12</v>
      </c>
      <c r="N91" s="13">
        <v>13</v>
      </c>
      <c r="O91" s="13">
        <v>14</v>
      </c>
      <c r="P91" s="14">
        <v>15</v>
      </c>
      <c r="Q91" s="14">
        <v>16</v>
      </c>
      <c r="R91" s="13">
        <v>17</v>
      </c>
      <c r="S91" s="13">
        <v>18</v>
      </c>
      <c r="T91" s="13">
        <v>19</v>
      </c>
      <c r="U91" s="13">
        <v>20</v>
      </c>
      <c r="V91" s="13">
        <v>21</v>
      </c>
      <c r="W91" s="14">
        <v>22</v>
      </c>
      <c r="X91" s="14">
        <v>23</v>
      </c>
      <c r="Y91" s="13">
        <v>24</v>
      </c>
      <c r="Z91" s="13">
        <v>25</v>
      </c>
      <c r="AA91" s="13">
        <v>26</v>
      </c>
      <c r="AB91" s="13">
        <v>27</v>
      </c>
      <c r="AC91" s="13">
        <v>28</v>
      </c>
      <c r="AD91" s="46">
        <v>29</v>
      </c>
      <c r="AE91" s="14">
        <v>30</v>
      </c>
      <c r="AF91" s="38">
        <v>31</v>
      </c>
      <c r="AG91" s="282"/>
    </row>
    <row r="92" spans="1:33" x14ac:dyDescent="0.2">
      <c r="A92" s="147" t="s">
        <v>15</v>
      </c>
      <c r="B92" s="181"/>
      <c r="C92" s="181"/>
      <c r="D92" s="200" t="s">
        <v>87</v>
      </c>
      <c r="E92" s="200" t="s">
        <v>87</v>
      </c>
      <c r="F92" s="200" t="s">
        <v>87</v>
      </c>
      <c r="G92" s="200" t="s">
        <v>87</v>
      </c>
      <c r="H92" s="200" t="s">
        <v>87</v>
      </c>
      <c r="I92" s="175"/>
      <c r="J92" s="181"/>
      <c r="K92" s="200" t="s">
        <v>87</v>
      </c>
      <c r="L92" s="200" t="s">
        <v>87</v>
      </c>
      <c r="M92" s="200" t="s">
        <v>87</v>
      </c>
      <c r="N92" s="200" t="s">
        <v>87</v>
      </c>
      <c r="O92" s="200" t="s">
        <v>87</v>
      </c>
      <c r="P92" s="171"/>
      <c r="Q92" s="171"/>
      <c r="R92" s="200" t="s">
        <v>87</v>
      </c>
      <c r="S92" s="200" t="s">
        <v>87</v>
      </c>
      <c r="T92" s="200" t="s">
        <v>87</v>
      </c>
      <c r="U92" s="200" t="s">
        <v>87</v>
      </c>
      <c r="V92" s="200" t="s">
        <v>87</v>
      </c>
      <c r="W92" s="171"/>
      <c r="X92" s="183"/>
      <c r="Y92" s="200" t="s">
        <v>87</v>
      </c>
      <c r="Z92" s="200" t="s">
        <v>87</v>
      </c>
      <c r="AA92" s="200" t="s">
        <v>87</v>
      </c>
      <c r="AB92" s="200" t="s">
        <v>87</v>
      </c>
      <c r="AC92" s="200" t="s">
        <v>87</v>
      </c>
      <c r="AD92" s="183"/>
      <c r="AE92" s="183"/>
      <c r="AF92" s="200" t="s">
        <v>87</v>
      </c>
      <c r="AG92" s="282"/>
    </row>
    <row r="93" spans="1:33" ht="21" customHeight="1" x14ac:dyDescent="0.2">
      <c r="A93" s="159" t="s">
        <v>16</v>
      </c>
      <c r="B93" s="184"/>
      <c r="C93" s="184"/>
      <c r="D93" s="230" t="s">
        <v>87</v>
      </c>
      <c r="E93" s="230" t="s">
        <v>87</v>
      </c>
      <c r="F93" s="230" t="s">
        <v>87</v>
      </c>
      <c r="G93" s="230" t="s">
        <v>87</v>
      </c>
      <c r="H93" s="230" t="s">
        <v>87</v>
      </c>
      <c r="I93" s="180"/>
      <c r="J93" s="184"/>
      <c r="K93" s="230" t="s">
        <v>87</v>
      </c>
      <c r="L93" s="230" t="s">
        <v>87</v>
      </c>
      <c r="M93" s="230" t="s">
        <v>87</v>
      </c>
      <c r="N93" s="230" t="s">
        <v>87</v>
      </c>
      <c r="O93" s="230" t="s">
        <v>87</v>
      </c>
      <c r="P93" s="176"/>
      <c r="Q93" s="176"/>
      <c r="R93" s="230" t="s">
        <v>87</v>
      </c>
      <c r="S93" s="230" t="s">
        <v>87</v>
      </c>
      <c r="T93" s="230" t="s">
        <v>87</v>
      </c>
      <c r="U93" s="230" t="s">
        <v>87</v>
      </c>
      <c r="V93" s="230" t="s">
        <v>87</v>
      </c>
      <c r="W93" s="176"/>
      <c r="X93" s="185"/>
      <c r="Y93" s="230" t="s">
        <v>87</v>
      </c>
      <c r="Z93" s="230" t="s">
        <v>87</v>
      </c>
      <c r="AA93" s="230" t="s">
        <v>87</v>
      </c>
      <c r="AB93" s="230" t="s">
        <v>87</v>
      </c>
      <c r="AC93" s="230" t="s">
        <v>87</v>
      </c>
      <c r="AD93" s="185"/>
      <c r="AE93" s="185"/>
      <c r="AF93" s="230" t="s">
        <v>87</v>
      </c>
      <c r="AG93" s="143">
        <f>(COUNTA(B92:AF93))*2</f>
        <v>84</v>
      </c>
    </row>
    <row r="94" spans="1:33" ht="10.5" customHeight="1" x14ac:dyDescent="0.2">
      <c r="A94" s="277">
        <v>46266</v>
      </c>
      <c r="B94" s="9" t="s">
        <v>13</v>
      </c>
      <c r="C94" s="9" t="s">
        <v>14</v>
      </c>
      <c r="D94" s="9" t="s">
        <v>8</v>
      </c>
      <c r="E94" s="9" t="s">
        <v>9</v>
      </c>
      <c r="F94" s="10" t="s">
        <v>78</v>
      </c>
      <c r="G94" s="10" t="s">
        <v>11</v>
      </c>
      <c r="H94" s="55" t="s">
        <v>12</v>
      </c>
      <c r="I94" s="9" t="s">
        <v>13</v>
      </c>
      <c r="J94" s="9" t="s">
        <v>14</v>
      </c>
      <c r="K94" s="9" t="s">
        <v>8</v>
      </c>
      <c r="L94" s="55" t="s">
        <v>9</v>
      </c>
      <c r="M94" s="10" t="s">
        <v>78</v>
      </c>
      <c r="N94" s="10" t="s">
        <v>11</v>
      </c>
      <c r="O94" s="9" t="s">
        <v>12</v>
      </c>
      <c r="P94" s="9" t="s">
        <v>13</v>
      </c>
      <c r="Q94" s="9" t="s">
        <v>14</v>
      </c>
      <c r="R94" s="50" t="s">
        <v>8</v>
      </c>
      <c r="S94" s="9" t="s">
        <v>9</v>
      </c>
      <c r="T94" s="10" t="s">
        <v>78</v>
      </c>
      <c r="U94" s="10" t="s">
        <v>11</v>
      </c>
      <c r="V94" s="9" t="s">
        <v>12</v>
      </c>
      <c r="W94" s="9" t="s">
        <v>13</v>
      </c>
      <c r="X94" s="9" t="s">
        <v>14</v>
      </c>
      <c r="Y94" s="50" t="s">
        <v>8</v>
      </c>
      <c r="Z94" s="9" t="s">
        <v>9</v>
      </c>
      <c r="AA94" s="10" t="s">
        <v>78</v>
      </c>
      <c r="AB94" s="10" t="s">
        <v>11</v>
      </c>
      <c r="AC94" s="9" t="s">
        <v>12</v>
      </c>
      <c r="AD94" s="9" t="s">
        <v>13</v>
      </c>
      <c r="AE94" s="9" t="s">
        <v>14</v>
      </c>
      <c r="AF94" s="247"/>
      <c r="AG94" s="281" t="s">
        <v>79</v>
      </c>
    </row>
    <row r="95" spans="1:33" x14ac:dyDescent="0.2">
      <c r="A95" s="278"/>
      <c r="B95" s="13">
        <v>1</v>
      </c>
      <c r="C95" s="13">
        <v>2</v>
      </c>
      <c r="D95" s="13">
        <v>3</v>
      </c>
      <c r="E95" s="13">
        <v>4</v>
      </c>
      <c r="F95" s="14">
        <v>5</v>
      </c>
      <c r="G95" s="14">
        <v>6</v>
      </c>
      <c r="H95" s="106">
        <v>7</v>
      </c>
      <c r="I95" s="13">
        <v>8</v>
      </c>
      <c r="J95" s="15">
        <v>9</v>
      </c>
      <c r="K95" s="15">
        <v>10</v>
      </c>
      <c r="L95" s="106">
        <v>11</v>
      </c>
      <c r="M95" s="14">
        <v>12</v>
      </c>
      <c r="N95" s="14">
        <v>13</v>
      </c>
      <c r="O95" s="13">
        <v>14</v>
      </c>
      <c r="P95" s="13">
        <v>15</v>
      </c>
      <c r="Q95" s="13">
        <v>16</v>
      </c>
      <c r="R95" s="13">
        <v>17</v>
      </c>
      <c r="S95" s="13">
        <v>18</v>
      </c>
      <c r="T95" s="14">
        <v>19</v>
      </c>
      <c r="U95" s="14">
        <v>20</v>
      </c>
      <c r="V95" s="13">
        <v>21</v>
      </c>
      <c r="W95" s="13">
        <v>22</v>
      </c>
      <c r="X95" s="13">
        <v>23</v>
      </c>
      <c r="Y95" s="13">
        <v>24</v>
      </c>
      <c r="Z95" s="13">
        <v>25</v>
      </c>
      <c r="AA95" s="14">
        <v>26</v>
      </c>
      <c r="AB95" s="14">
        <v>27</v>
      </c>
      <c r="AC95" s="13">
        <v>28</v>
      </c>
      <c r="AD95" s="18">
        <v>29</v>
      </c>
      <c r="AE95" s="13">
        <v>30</v>
      </c>
      <c r="AF95" s="248"/>
      <c r="AG95" s="282"/>
    </row>
    <row r="96" spans="1:33" x14ac:dyDescent="0.2">
      <c r="A96" s="147" t="s">
        <v>15</v>
      </c>
      <c r="B96" s="200" t="s">
        <v>87</v>
      </c>
      <c r="C96" s="200" t="s">
        <v>87</v>
      </c>
      <c r="D96" s="200" t="s">
        <v>87</v>
      </c>
      <c r="E96" s="200" t="s">
        <v>87</v>
      </c>
      <c r="F96" s="151"/>
      <c r="G96" s="151"/>
      <c r="H96" s="186"/>
      <c r="I96" s="200" t="s">
        <v>87</v>
      </c>
      <c r="J96" s="200" t="s">
        <v>87</v>
      </c>
      <c r="K96" s="200" t="s">
        <v>87</v>
      </c>
      <c r="L96" s="187"/>
      <c r="M96" s="171"/>
      <c r="N96" s="155"/>
      <c r="O96" s="200" t="s">
        <v>87</v>
      </c>
      <c r="P96" s="200" t="s">
        <v>87</v>
      </c>
      <c r="Q96" s="200" t="s">
        <v>87</v>
      </c>
      <c r="R96" s="200" t="s">
        <v>87</v>
      </c>
      <c r="S96" s="200" t="s">
        <v>87</v>
      </c>
      <c r="T96" s="171"/>
      <c r="U96" s="155"/>
      <c r="V96" s="200" t="s">
        <v>87</v>
      </c>
      <c r="W96" s="200" t="s">
        <v>87</v>
      </c>
      <c r="X96" s="200" t="s">
        <v>87</v>
      </c>
      <c r="Y96" s="200" t="s">
        <v>87</v>
      </c>
      <c r="Z96" s="200" t="s">
        <v>87</v>
      </c>
      <c r="AA96" s="175"/>
      <c r="AB96" s="155"/>
      <c r="AC96" s="200" t="s">
        <v>87</v>
      </c>
      <c r="AD96" s="200" t="s">
        <v>87</v>
      </c>
      <c r="AE96" s="200" t="s">
        <v>87</v>
      </c>
      <c r="AF96" s="194"/>
      <c r="AG96" s="282"/>
    </row>
    <row r="97" spans="1:33" x14ac:dyDescent="0.2">
      <c r="A97" s="159" t="s">
        <v>16</v>
      </c>
      <c r="B97" s="230" t="s">
        <v>87</v>
      </c>
      <c r="C97" s="230" t="s">
        <v>87</v>
      </c>
      <c r="D97" s="230" t="s">
        <v>87</v>
      </c>
      <c r="E97" s="230" t="s">
        <v>87</v>
      </c>
      <c r="F97" s="162"/>
      <c r="G97" s="162"/>
      <c r="H97" s="188"/>
      <c r="I97" s="230" t="s">
        <v>87</v>
      </c>
      <c r="J97" s="230" t="s">
        <v>87</v>
      </c>
      <c r="K97" s="230" t="s">
        <v>87</v>
      </c>
      <c r="L97" s="189"/>
      <c r="M97" s="176"/>
      <c r="N97" s="166"/>
      <c r="O97" s="230" t="s">
        <v>87</v>
      </c>
      <c r="P97" s="230" t="s">
        <v>87</v>
      </c>
      <c r="Q97" s="230" t="s">
        <v>87</v>
      </c>
      <c r="R97" s="230" t="s">
        <v>87</v>
      </c>
      <c r="S97" s="230" t="s">
        <v>87</v>
      </c>
      <c r="T97" s="176"/>
      <c r="U97" s="166"/>
      <c r="V97" s="230" t="s">
        <v>87</v>
      </c>
      <c r="W97" s="230" t="s">
        <v>87</v>
      </c>
      <c r="X97" s="230" t="s">
        <v>87</v>
      </c>
      <c r="Y97" s="230" t="s">
        <v>87</v>
      </c>
      <c r="Z97" s="230" t="s">
        <v>87</v>
      </c>
      <c r="AA97" s="180"/>
      <c r="AB97" s="166"/>
      <c r="AC97" s="230" t="s">
        <v>87</v>
      </c>
      <c r="AD97" s="230" t="s">
        <v>87</v>
      </c>
      <c r="AE97" s="230" t="s">
        <v>87</v>
      </c>
      <c r="AF97" s="198"/>
      <c r="AG97" s="143">
        <f>(COUNTA(B96:AF97))*2</f>
        <v>80</v>
      </c>
    </row>
    <row r="98" spans="1:33" x14ac:dyDescent="0.2">
      <c r="A98" s="277">
        <v>46296</v>
      </c>
      <c r="B98" s="9" t="s">
        <v>8</v>
      </c>
      <c r="C98" s="9" t="s">
        <v>9</v>
      </c>
      <c r="D98" s="10" t="s">
        <v>78</v>
      </c>
      <c r="E98" s="10" t="s">
        <v>11</v>
      </c>
      <c r="F98" s="9" t="s">
        <v>12</v>
      </c>
      <c r="G98" s="9" t="s">
        <v>13</v>
      </c>
      <c r="H98" s="9" t="s">
        <v>14</v>
      </c>
      <c r="I98" s="9" t="s">
        <v>8</v>
      </c>
      <c r="J98" s="9" t="s">
        <v>9</v>
      </c>
      <c r="K98" s="10" t="s">
        <v>78</v>
      </c>
      <c r="L98" s="10" t="s">
        <v>11</v>
      </c>
      <c r="M98" s="55" t="s">
        <v>12</v>
      </c>
      <c r="N98" s="9" t="s">
        <v>13</v>
      </c>
      <c r="O98" s="9" t="s">
        <v>14</v>
      </c>
      <c r="P98" s="50" t="s">
        <v>8</v>
      </c>
      <c r="Q98" s="9" t="s">
        <v>9</v>
      </c>
      <c r="R98" s="10" t="s">
        <v>78</v>
      </c>
      <c r="S98" s="10" t="s">
        <v>11</v>
      </c>
      <c r="T98" s="9" t="s">
        <v>12</v>
      </c>
      <c r="U98" s="9" t="s">
        <v>13</v>
      </c>
      <c r="V98" s="9" t="s">
        <v>14</v>
      </c>
      <c r="W98" s="50" t="s">
        <v>8</v>
      </c>
      <c r="X98" s="9" t="s">
        <v>9</v>
      </c>
      <c r="Y98" s="10" t="s">
        <v>78</v>
      </c>
      <c r="Z98" s="10" t="s">
        <v>11</v>
      </c>
      <c r="AA98" s="9" t="s">
        <v>12</v>
      </c>
      <c r="AB98" s="9" t="s">
        <v>13</v>
      </c>
      <c r="AC98" s="9" t="s">
        <v>14</v>
      </c>
      <c r="AD98" s="50" t="s">
        <v>8</v>
      </c>
      <c r="AE98" s="9" t="s">
        <v>9</v>
      </c>
      <c r="AF98" s="10" t="s">
        <v>78</v>
      </c>
      <c r="AG98" s="281" t="s">
        <v>79</v>
      </c>
    </row>
    <row r="99" spans="1:33" x14ac:dyDescent="0.2">
      <c r="A99" s="278"/>
      <c r="B99" s="13">
        <v>1</v>
      </c>
      <c r="C99" s="13">
        <v>2</v>
      </c>
      <c r="D99" s="14">
        <v>3</v>
      </c>
      <c r="E99" s="14">
        <v>4</v>
      </c>
      <c r="F99" s="13">
        <v>5</v>
      </c>
      <c r="G99" s="13">
        <v>6</v>
      </c>
      <c r="H99" s="13">
        <v>7</v>
      </c>
      <c r="I99" s="13">
        <v>8</v>
      </c>
      <c r="J99" s="15">
        <v>9</v>
      </c>
      <c r="K99" s="16">
        <v>10</v>
      </c>
      <c r="L99" s="14">
        <v>11</v>
      </c>
      <c r="M99" s="106">
        <v>12</v>
      </c>
      <c r="N99" s="13">
        <v>13</v>
      </c>
      <c r="O99" s="13">
        <v>14</v>
      </c>
      <c r="P99" s="13">
        <v>15</v>
      </c>
      <c r="Q99" s="13">
        <v>16</v>
      </c>
      <c r="R99" s="14">
        <v>17</v>
      </c>
      <c r="S99" s="14">
        <v>18</v>
      </c>
      <c r="T99" s="13">
        <v>19</v>
      </c>
      <c r="U99" s="13">
        <v>20</v>
      </c>
      <c r="V99" s="13">
        <v>21</v>
      </c>
      <c r="W99" s="13">
        <v>22</v>
      </c>
      <c r="X99" s="13">
        <v>23</v>
      </c>
      <c r="Y99" s="14">
        <v>24</v>
      </c>
      <c r="Z99" s="14">
        <v>25</v>
      </c>
      <c r="AA99" s="13">
        <v>26</v>
      </c>
      <c r="AB99" s="13">
        <v>27</v>
      </c>
      <c r="AC99" s="13">
        <v>28</v>
      </c>
      <c r="AD99" s="18">
        <v>29</v>
      </c>
      <c r="AE99" s="13">
        <v>30</v>
      </c>
      <c r="AF99" s="56">
        <v>31</v>
      </c>
      <c r="AG99" s="282"/>
    </row>
    <row r="100" spans="1:33" x14ac:dyDescent="0.2">
      <c r="A100" s="147" t="s">
        <v>15</v>
      </c>
      <c r="B100" s="200" t="s">
        <v>87</v>
      </c>
      <c r="C100" s="200" t="s">
        <v>87</v>
      </c>
      <c r="D100" s="181"/>
      <c r="E100" s="151"/>
      <c r="F100" s="200" t="s">
        <v>87</v>
      </c>
      <c r="G100" s="200" t="s">
        <v>87</v>
      </c>
      <c r="H100" s="200" t="s">
        <v>87</v>
      </c>
      <c r="I100" s="200" t="s">
        <v>87</v>
      </c>
      <c r="J100" s="200" t="s">
        <v>87</v>
      </c>
      <c r="K100" s="181"/>
      <c r="L100" s="171"/>
      <c r="M100" s="187"/>
      <c r="N100" s="172"/>
      <c r="O100" s="172"/>
      <c r="P100" s="154"/>
      <c r="Q100" s="154"/>
      <c r="R100" s="171"/>
      <c r="S100" s="171"/>
      <c r="T100" s="154"/>
      <c r="U100" s="172"/>
      <c r="V100" s="173"/>
      <c r="W100" s="154"/>
      <c r="X100" s="157"/>
      <c r="Y100" s="183"/>
      <c r="Z100" s="174"/>
      <c r="AA100" s="153"/>
      <c r="AB100" s="172"/>
      <c r="AC100" s="173"/>
      <c r="AD100" s="157"/>
      <c r="AE100" s="157"/>
      <c r="AF100" s="183"/>
      <c r="AG100" s="282"/>
    </row>
    <row r="101" spans="1:33" x14ac:dyDescent="0.2">
      <c r="A101" s="159" t="s">
        <v>16</v>
      </c>
      <c r="B101" s="230" t="s">
        <v>87</v>
      </c>
      <c r="C101" s="230" t="s">
        <v>87</v>
      </c>
      <c r="D101" s="184"/>
      <c r="E101" s="162"/>
      <c r="F101" s="230" t="s">
        <v>87</v>
      </c>
      <c r="G101" s="230" t="s">
        <v>87</v>
      </c>
      <c r="H101" s="230" t="s">
        <v>87</v>
      </c>
      <c r="I101" s="230" t="s">
        <v>87</v>
      </c>
      <c r="J101" s="230" t="s">
        <v>87</v>
      </c>
      <c r="K101" s="184"/>
      <c r="L101" s="176"/>
      <c r="M101" s="189"/>
      <c r="N101" s="177"/>
      <c r="O101" s="177"/>
      <c r="P101" s="165"/>
      <c r="Q101" s="165"/>
      <c r="R101" s="176"/>
      <c r="S101" s="176"/>
      <c r="T101" s="165"/>
      <c r="U101" s="177"/>
      <c r="V101" s="178"/>
      <c r="W101" s="165"/>
      <c r="X101" s="168"/>
      <c r="Y101" s="185"/>
      <c r="Z101" s="179"/>
      <c r="AA101" s="164"/>
      <c r="AB101" s="177"/>
      <c r="AC101" s="178"/>
      <c r="AD101" s="168"/>
      <c r="AE101" s="168"/>
      <c r="AF101" s="185"/>
      <c r="AG101" s="143">
        <f>(COUNTA(B100:AF101))*2</f>
        <v>28</v>
      </c>
    </row>
    <row r="102" spans="1:33" x14ac:dyDescent="0.2">
      <c r="A102" s="277">
        <v>46327</v>
      </c>
      <c r="B102" s="10" t="s">
        <v>11</v>
      </c>
      <c r="C102" s="9" t="s">
        <v>12</v>
      </c>
      <c r="D102" s="9" t="s">
        <v>13</v>
      </c>
      <c r="E102" s="9" t="s">
        <v>14</v>
      </c>
      <c r="F102" s="9" t="s">
        <v>8</v>
      </c>
      <c r="G102" s="9" t="s">
        <v>9</v>
      </c>
      <c r="H102" s="10" t="s">
        <v>78</v>
      </c>
      <c r="I102" s="10" t="s">
        <v>11</v>
      </c>
      <c r="J102" s="9" t="s">
        <v>12</v>
      </c>
      <c r="K102" s="9" t="s">
        <v>13</v>
      </c>
      <c r="L102" s="9" t="s">
        <v>14</v>
      </c>
      <c r="M102" s="9" t="s">
        <v>8</v>
      </c>
      <c r="N102" s="9" t="s">
        <v>9</v>
      </c>
      <c r="O102" s="10" t="s">
        <v>78</v>
      </c>
      <c r="P102" s="10" t="s">
        <v>11</v>
      </c>
      <c r="Q102" s="9" t="s">
        <v>12</v>
      </c>
      <c r="R102" s="9" t="s">
        <v>13</v>
      </c>
      <c r="S102" s="9" t="s">
        <v>14</v>
      </c>
      <c r="T102" s="9" t="s">
        <v>8</v>
      </c>
      <c r="U102" s="55" t="s">
        <v>9</v>
      </c>
      <c r="V102" s="10" t="s">
        <v>78</v>
      </c>
      <c r="W102" s="10" t="s">
        <v>11</v>
      </c>
      <c r="X102" s="50" t="s">
        <v>12</v>
      </c>
      <c r="Y102" s="9" t="s">
        <v>13</v>
      </c>
      <c r="Z102" s="50" t="s">
        <v>14</v>
      </c>
      <c r="AA102" s="9" t="s">
        <v>8</v>
      </c>
      <c r="AB102" s="9" t="s">
        <v>9</v>
      </c>
      <c r="AC102" s="10" t="s">
        <v>78</v>
      </c>
      <c r="AD102" s="10" t="s">
        <v>11</v>
      </c>
      <c r="AE102" s="50" t="s">
        <v>12</v>
      </c>
      <c r="AF102" s="51"/>
      <c r="AG102" s="281" t="s">
        <v>79</v>
      </c>
    </row>
    <row r="103" spans="1:33" x14ac:dyDescent="0.2">
      <c r="A103" s="278"/>
      <c r="B103" s="14">
        <v>1</v>
      </c>
      <c r="C103" s="13">
        <v>2</v>
      </c>
      <c r="D103" s="13">
        <v>3</v>
      </c>
      <c r="E103" s="13">
        <v>4</v>
      </c>
      <c r="F103" s="13">
        <v>5</v>
      </c>
      <c r="G103" s="13">
        <v>6</v>
      </c>
      <c r="H103" s="14">
        <v>7</v>
      </c>
      <c r="I103" s="14">
        <v>8</v>
      </c>
      <c r="J103" s="15">
        <v>9</v>
      </c>
      <c r="K103" s="15">
        <v>10</v>
      </c>
      <c r="L103" s="13">
        <v>11</v>
      </c>
      <c r="M103" s="13">
        <v>12</v>
      </c>
      <c r="N103" s="13">
        <v>13</v>
      </c>
      <c r="O103" s="14">
        <v>14</v>
      </c>
      <c r="P103" s="14">
        <v>15</v>
      </c>
      <c r="Q103" s="13">
        <v>16</v>
      </c>
      <c r="R103" s="13">
        <v>17</v>
      </c>
      <c r="S103" s="13">
        <v>18</v>
      </c>
      <c r="T103" s="13">
        <v>19</v>
      </c>
      <c r="U103" s="106">
        <v>20</v>
      </c>
      <c r="V103" s="14">
        <v>21</v>
      </c>
      <c r="W103" s="14">
        <v>22</v>
      </c>
      <c r="X103" s="13">
        <v>23</v>
      </c>
      <c r="Y103" s="13">
        <v>24</v>
      </c>
      <c r="Z103" s="13">
        <v>25</v>
      </c>
      <c r="AA103" s="13">
        <v>26</v>
      </c>
      <c r="AB103" s="13">
        <v>27</v>
      </c>
      <c r="AC103" s="14">
        <v>28</v>
      </c>
      <c r="AD103" s="46">
        <v>29</v>
      </c>
      <c r="AE103" s="13">
        <v>30</v>
      </c>
      <c r="AF103" s="38"/>
      <c r="AG103" s="282"/>
    </row>
    <row r="104" spans="1:33" x14ac:dyDescent="0.2">
      <c r="A104" s="147" t="s">
        <v>15</v>
      </c>
      <c r="B104" s="181"/>
      <c r="C104" s="149"/>
      <c r="D104" s="149"/>
      <c r="E104" s="150"/>
      <c r="F104" s="150"/>
      <c r="G104" s="150"/>
      <c r="H104" s="152"/>
      <c r="I104" s="175"/>
      <c r="J104" s="149"/>
      <c r="K104" s="149"/>
      <c r="L104" s="154"/>
      <c r="M104" s="154"/>
      <c r="N104" s="172"/>
      <c r="O104" s="155"/>
      <c r="P104" s="171"/>
      <c r="Q104" s="154"/>
      <c r="R104" s="154"/>
      <c r="S104" s="154"/>
      <c r="T104" s="154"/>
      <c r="U104" s="190"/>
      <c r="V104" s="156"/>
      <c r="W104" s="171"/>
      <c r="X104" s="157"/>
      <c r="Y104" s="157"/>
      <c r="Z104" s="158"/>
      <c r="AA104" s="153"/>
      <c r="AB104" s="172"/>
      <c r="AC104" s="156"/>
      <c r="AD104" s="183"/>
      <c r="AE104" s="157"/>
      <c r="AF104" s="157"/>
      <c r="AG104" s="282"/>
    </row>
    <row r="105" spans="1:33" x14ac:dyDescent="0.2">
      <c r="A105" s="159" t="s">
        <v>16</v>
      </c>
      <c r="B105" s="184"/>
      <c r="C105" s="160"/>
      <c r="D105" s="160"/>
      <c r="E105" s="161"/>
      <c r="F105" s="161"/>
      <c r="G105" s="161"/>
      <c r="H105" s="163"/>
      <c r="I105" s="180"/>
      <c r="J105" s="160"/>
      <c r="K105" s="160"/>
      <c r="L105" s="165"/>
      <c r="M105" s="165"/>
      <c r="N105" s="177"/>
      <c r="O105" s="166"/>
      <c r="P105" s="176"/>
      <c r="Q105" s="165"/>
      <c r="R105" s="165"/>
      <c r="S105" s="165"/>
      <c r="T105" s="165"/>
      <c r="U105" s="191"/>
      <c r="V105" s="167"/>
      <c r="W105" s="176"/>
      <c r="X105" s="168"/>
      <c r="Y105" s="168"/>
      <c r="Z105" s="170"/>
      <c r="AA105" s="164"/>
      <c r="AB105" s="177"/>
      <c r="AC105" s="167"/>
      <c r="AD105" s="185"/>
      <c r="AE105" s="168"/>
      <c r="AF105" s="168"/>
      <c r="AG105" s="143">
        <f>(COUNTA(B104:AF105))*2</f>
        <v>0</v>
      </c>
    </row>
    <row r="106" spans="1:33" x14ac:dyDescent="0.2">
      <c r="A106" s="277">
        <v>46357</v>
      </c>
      <c r="B106" s="9" t="s">
        <v>13</v>
      </c>
      <c r="C106" s="9" t="s">
        <v>14</v>
      </c>
      <c r="D106" s="9" t="s">
        <v>8</v>
      </c>
      <c r="E106" s="9" t="s">
        <v>9</v>
      </c>
      <c r="F106" s="10" t="s">
        <v>78</v>
      </c>
      <c r="G106" s="10" t="s">
        <v>11</v>
      </c>
      <c r="H106" s="9" t="s">
        <v>12</v>
      </c>
      <c r="I106" s="9" t="s">
        <v>13</v>
      </c>
      <c r="J106" s="9" t="s">
        <v>14</v>
      </c>
      <c r="K106" s="9" t="s">
        <v>8</v>
      </c>
      <c r="L106" s="9" t="s">
        <v>9</v>
      </c>
      <c r="M106" s="10" t="s">
        <v>78</v>
      </c>
      <c r="N106" s="10" t="s">
        <v>11</v>
      </c>
      <c r="O106" s="9" t="s">
        <v>12</v>
      </c>
      <c r="P106" s="9" t="s">
        <v>13</v>
      </c>
      <c r="Q106" s="9" t="s">
        <v>14</v>
      </c>
      <c r="R106" s="50" t="s">
        <v>8</v>
      </c>
      <c r="S106" s="9" t="s">
        <v>9</v>
      </c>
      <c r="T106" s="10" t="s">
        <v>78</v>
      </c>
      <c r="U106" s="10" t="s">
        <v>11</v>
      </c>
      <c r="V106" s="9" t="s">
        <v>12</v>
      </c>
      <c r="W106" s="9" t="s">
        <v>13</v>
      </c>
      <c r="X106" s="9" t="s">
        <v>14</v>
      </c>
      <c r="Y106" s="50" t="s">
        <v>8</v>
      </c>
      <c r="Z106" s="9" t="s">
        <v>9</v>
      </c>
      <c r="AA106" s="10" t="s">
        <v>78</v>
      </c>
      <c r="AB106" s="10" t="s">
        <v>11</v>
      </c>
      <c r="AC106" s="9" t="s">
        <v>12</v>
      </c>
      <c r="AD106" s="9" t="s">
        <v>13</v>
      </c>
      <c r="AE106" s="9" t="s">
        <v>14</v>
      </c>
      <c r="AF106" s="9" t="s">
        <v>8</v>
      </c>
      <c r="AG106" s="281" t="s">
        <v>79</v>
      </c>
    </row>
    <row r="107" spans="1:33" x14ac:dyDescent="0.2">
      <c r="A107" s="278"/>
      <c r="B107" s="13">
        <v>1</v>
      </c>
      <c r="C107" s="13">
        <v>2</v>
      </c>
      <c r="D107" s="13">
        <v>3</v>
      </c>
      <c r="E107" s="13">
        <v>4</v>
      </c>
      <c r="F107" s="14">
        <v>5</v>
      </c>
      <c r="G107" s="14">
        <v>6</v>
      </c>
      <c r="H107" s="13">
        <v>7</v>
      </c>
      <c r="I107" s="13">
        <v>8</v>
      </c>
      <c r="J107" s="15">
        <v>9</v>
      </c>
      <c r="K107" s="15">
        <v>10</v>
      </c>
      <c r="L107" s="13">
        <v>11</v>
      </c>
      <c r="M107" s="14">
        <v>12</v>
      </c>
      <c r="N107" s="14">
        <v>13</v>
      </c>
      <c r="O107" s="13">
        <v>14</v>
      </c>
      <c r="P107" s="13">
        <v>15</v>
      </c>
      <c r="Q107" s="13">
        <v>16</v>
      </c>
      <c r="R107" s="13">
        <v>17</v>
      </c>
      <c r="S107" s="13">
        <v>18</v>
      </c>
      <c r="T107" s="14">
        <v>19</v>
      </c>
      <c r="U107" s="14">
        <v>20</v>
      </c>
      <c r="V107" s="13">
        <v>21</v>
      </c>
      <c r="W107" s="13">
        <v>22</v>
      </c>
      <c r="X107" s="13">
        <v>23</v>
      </c>
      <c r="Y107" s="13">
        <v>24</v>
      </c>
      <c r="Z107" s="13">
        <v>25</v>
      </c>
      <c r="AA107" s="14">
        <v>26</v>
      </c>
      <c r="AB107" s="14">
        <v>27</v>
      </c>
      <c r="AC107" s="13">
        <v>28</v>
      </c>
      <c r="AD107" s="18">
        <v>29</v>
      </c>
      <c r="AE107" s="13">
        <v>30</v>
      </c>
      <c r="AF107" s="38">
        <v>31</v>
      </c>
      <c r="AG107" s="282"/>
    </row>
    <row r="108" spans="1:33" x14ac:dyDescent="0.2">
      <c r="A108" s="147" t="s">
        <v>15</v>
      </c>
      <c r="B108" s="149"/>
      <c r="C108" s="149"/>
      <c r="D108" s="149"/>
      <c r="E108" s="150"/>
      <c r="F108" s="151"/>
      <c r="G108" s="151"/>
      <c r="H108" s="182"/>
      <c r="I108" s="153"/>
      <c r="J108" s="149"/>
      <c r="K108" s="149"/>
      <c r="L108" s="154"/>
      <c r="M108" s="171"/>
      <c r="N108" s="155"/>
      <c r="O108" s="172"/>
      <c r="P108" s="154"/>
      <c r="Q108" s="154"/>
      <c r="R108" s="154"/>
      <c r="S108" s="154"/>
      <c r="T108" s="171"/>
      <c r="U108" s="155"/>
      <c r="V108" s="192"/>
      <c r="W108" s="193"/>
      <c r="X108" s="194"/>
      <c r="Y108" s="194"/>
      <c r="Z108" s="195"/>
      <c r="AA108" s="175"/>
      <c r="AB108" s="155"/>
      <c r="AC108" s="192"/>
      <c r="AD108" s="194"/>
      <c r="AE108" s="194"/>
      <c r="AF108" s="194"/>
      <c r="AG108" s="282"/>
    </row>
    <row r="109" spans="1:33" x14ac:dyDescent="0.2">
      <c r="A109" s="159" t="s">
        <v>16</v>
      </c>
      <c r="B109" s="261"/>
      <c r="C109" s="261"/>
      <c r="D109" s="261"/>
      <c r="E109" s="150"/>
      <c r="F109" s="151"/>
      <c r="G109" s="151"/>
      <c r="H109" s="182"/>
      <c r="I109" s="262"/>
      <c r="J109" s="261"/>
      <c r="K109" s="261"/>
      <c r="L109" s="263"/>
      <c r="M109" s="264"/>
      <c r="N109" s="22"/>
      <c r="O109" s="265"/>
      <c r="P109" s="263"/>
      <c r="Q109" s="263"/>
      <c r="R109" s="263"/>
      <c r="S109" s="165"/>
      <c r="T109" s="176"/>
      <c r="U109" s="166"/>
      <c r="V109" s="196"/>
      <c r="W109" s="197"/>
      <c r="X109" s="198"/>
      <c r="Y109" s="198"/>
      <c r="Z109" s="199"/>
      <c r="AA109" s="180"/>
      <c r="AB109" s="166"/>
      <c r="AC109" s="196"/>
      <c r="AD109" s="198"/>
      <c r="AE109" s="198"/>
      <c r="AF109" s="198"/>
      <c r="AG109" s="143">
        <f>(COUNTA(B108:AF109))*2</f>
        <v>0</v>
      </c>
    </row>
    <row r="110" spans="1:33" x14ac:dyDescent="0.2">
      <c r="B110" s="140" t="s">
        <v>35</v>
      </c>
      <c r="C110" s="296" t="s">
        <v>88</v>
      </c>
      <c r="D110" s="296"/>
      <c r="E110" s="296"/>
      <c r="F110" s="296" t="s">
        <v>37</v>
      </c>
      <c r="G110" s="296"/>
      <c r="H110" s="296"/>
      <c r="I110" s="296"/>
      <c r="J110" s="296"/>
      <c r="K110" s="296"/>
      <c r="L110" s="296"/>
      <c r="M110" s="296"/>
      <c r="N110" s="296" t="s">
        <v>17</v>
      </c>
      <c r="O110" s="296"/>
      <c r="P110" s="305" t="s">
        <v>38</v>
      </c>
      <c r="Q110" s="305"/>
      <c r="R110" s="306"/>
    </row>
    <row r="111" spans="1:33" x14ac:dyDescent="0.2">
      <c r="B111" s="126" t="s">
        <v>75</v>
      </c>
      <c r="C111" s="270"/>
      <c r="D111" s="270"/>
      <c r="E111" s="270"/>
      <c r="F111" t="s">
        <v>89</v>
      </c>
      <c r="N111" s="270">
        <v>120</v>
      </c>
      <c r="O111" s="270"/>
      <c r="P111" s="270" t="s">
        <v>90</v>
      </c>
      <c r="Q111" s="270"/>
      <c r="R111" s="271"/>
    </row>
    <row r="112" spans="1:33" x14ac:dyDescent="0.2">
      <c r="B112" s="122" t="s">
        <v>82</v>
      </c>
      <c r="C112" s="279" t="s">
        <v>91</v>
      </c>
      <c r="D112" s="279"/>
      <c r="E112" s="279"/>
      <c r="F112" t="s">
        <v>92</v>
      </c>
      <c r="N112" s="270">
        <v>24</v>
      </c>
      <c r="O112" s="270"/>
      <c r="P112" s="270" t="s">
        <v>90</v>
      </c>
      <c r="Q112" s="270"/>
      <c r="R112" s="271"/>
    </row>
    <row r="113" spans="2:18" x14ac:dyDescent="0.2">
      <c r="B113" s="255" t="s">
        <v>83</v>
      </c>
      <c r="C113" s="279"/>
      <c r="D113" s="279"/>
      <c r="E113" s="279"/>
      <c r="F113" t="s">
        <v>93</v>
      </c>
      <c r="N113" s="270">
        <v>20</v>
      </c>
      <c r="O113" s="270"/>
      <c r="P113" s="270" t="s">
        <v>90</v>
      </c>
      <c r="Q113" s="270"/>
      <c r="R113" s="271"/>
    </row>
    <row r="114" spans="2:18" x14ac:dyDescent="0.2">
      <c r="B114" s="256" t="s">
        <v>84</v>
      </c>
      <c r="C114" s="279"/>
      <c r="D114" s="279"/>
      <c r="E114" s="279"/>
      <c r="F114" t="s">
        <v>94</v>
      </c>
      <c r="N114" s="270">
        <v>60</v>
      </c>
      <c r="O114" s="270"/>
      <c r="P114" s="270" t="s">
        <v>90</v>
      </c>
      <c r="Q114" s="270"/>
      <c r="R114" s="271"/>
    </row>
    <row r="115" spans="2:18" x14ac:dyDescent="0.2">
      <c r="B115" s="257" t="s">
        <v>85</v>
      </c>
      <c r="C115" s="279"/>
      <c r="D115" s="279"/>
      <c r="E115" s="279"/>
      <c r="F115" t="s">
        <v>95</v>
      </c>
      <c r="N115" s="270">
        <v>30</v>
      </c>
      <c r="O115" s="270"/>
      <c r="P115" s="270" t="s">
        <v>90</v>
      </c>
      <c r="Q115" s="270"/>
      <c r="R115" s="271"/>
    </row>
    <row r="116" spans="2:18" x14ac:dyDescent="0.2">
      <c r="B116" s="258" t="s">
        <v>86</v>
      </c>
      <c r="C116" s="279"/>
      <c r="D116" s="279"/>
      <c r="E116" s="279"/>
      <c r="F116" t="s">
        <v>96</v>
      </c>
      <c r="N116" s="270">
        <v>48</v>
      </c>
      <c r="O116" s="270"/>
      <c r="P116" s="270" t="s">
        <v>90</v>
      </c>
      <c r="Q116" s="270"/>
      <c r="R116" s="271"/>
    </row>
    <row r="117" spans="2:18" x14ac:dyDescent="0.2">
      <c r="B117" s="259" t="s">
        <v>30</v>
      </c>
      <c r="C117" s="279"/>
      <c r="D117" s="279"/>
      <c r="E117" s="279"/>
      <c r="F117" t="s">
        <v>97</v>
      </c>
      <c r="N117" s="270">
        <v>30</v>
      </c>
      <c r="O117" s="270"/>
      <c r="P117" s="270" t="s">
        <v>90</v>
      </c>
      <c r="Q117" s="270"/>
      <c r="R117" s="271"/>
    </row>
    <row r="118" spans="2:18" x14ac:dyDescent="0.2">
      <c r="B118" s="260" t="s">
        <v>87</v>
      </c>
      <c r="C118" s="280"/>
      <c r="D118" s="280"/>
      <c r="E118" s="280"/>
      <c r="F118" s="71" t="s">
        <v>98</v>
      </c>
      <c r="G118" s="71"/>
      <c r="H118" s="71"/>
      <c r="I118" s="71"/>
      <c r="J118" s="71"/>
      <c r="K118" s="71"/>
      <c r="L118" s="71"/>
      <c r="M118" s="71"/>
      <c r="N118" s="275">
        <v>188</v>
      </c>
      <c r="O118" s="275"/>
      <c r="P118" s="275" t="s">
        <v>90</v>
      </c>
      <c r="Q118" s="275"/>
      <c r="R118" s="276"/>
    </row>
    <row r="125" spans="2:18" x14ac:dyDescent="0.2"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</row>
    <row r="126" spans="2:18" x14ac:dyDescent="0.2"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</row>
    <row r="127" spans="2:18" ht="24" x14ac:dyDescent="0.3">
      <c r="G127" s="266"/>
      <c r="H127" s="267"/>
      <c r="I127" s="267"/>
      <c r="J127" s="267"/>
      <c r="K127" s="267"/>
      <c r="L127" s="267"/>
      <c r="M127" s="267"/>
      <c r="N127" s="267"/>
      <c r="O127" s="266"/>
      <c r="P127" s="266"/>
      <c r="Q127" s="266"/>
      <c r="R127" s="266"/>
    </row>
    <row r="128" spans="2:18" x14ac:dyDescent="0.2"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</row>
    <row r="129" spans="7:18" x14ac:dyDescent="0.2"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</row>
  </sheetData>
  <mergeCells count="99">
    <mergeCell ref="AG102:AG104"/>
    <mergeCell ref="A106:A107"/>
    <mergeCell ref="AG106:AG108"/>
    <mergeCell ref="C110:E110"/>
    <mergeCell ref="F110:M110"/>
    <mergeCell ref="N110:O110"/>
    <mergeCell ref="P110:R110"/>
    <mergeCell ref="A78:A79"/>
    <mergeCell ref="A90:A91"/>
    <mergeCell ref="AG90:AG92"/>
    <mergeCell ref="A86:A87"/>
    <mergeCell ref="AG86:AG88"/>
    <mergeCell ref="A70:A71"/>
    <mergeCell ref="AG70:AG72"/>
    <mergeCell ref="A62:A63"/>
    <mergeCell ref="A74:A75"/>
    <mergeCell ref="AG74:AG76"/>
    <mergeCell ref="F64:J65"/>
    <mergeCell ref="T64:X65"/>
    <mergeCell ref="AG62:AG64"/>
    <mergeCell ref="A66:A67"/>
    <mergeCell ref="AG66:AG68"/>
    <mergeCell ref="L49:M49"/>
    <mergeCell ref="L50:M50"/>
    <mergeCell ref="F48:K48"/>
    <mergeCell ref="F49:K49"/>
    <mergeCell ref="F50:K50"/>
    <mergeCell ref="N50:O50"/>
    <mergeCell ref="N48:O48"/>
    <mergeCell ref="A23:A24"/>
    <mergeCell ref="L35:M35"/>
    <mergeCell ref="L36:M36"/>
    <mergeCell ref="A27:A28"/>
    <mergeCell ref="L42:M42"/>
    <mergeCell ref="F36:K36"/>
    <mergeCell ref="L40:M40"/>
    <mergeCell ref="L41:M41"/>
    <mergeCell ref="A31:A32"/>
    <mergeCell ref="F35:K35"/>
    <mergeCell ref="F40:K40"/>
    <mergeCell ref="C45:E50"/>
    <mergeCell ref="C36:E44"/>
    <mergeCell ref="L48:M48"/>
    <mergeCell ref="L47:M47"/>
    <mergeCell ref="L44:M44"/>
    <mergeCell ref="N40:O40"/>
    <mergeCell ref="N41:O41"/>
    <mergeCell ref="A3:A4"/>
    <mergeCell ref="A7:A8"/>
    <mergeCell ref="A11:A12"/>
    <mergeCell ref="A15:A16"/>
    <mergeCell ref="A19:A20"/>
    <mergeCell ref="AG94:AG96"/>
    <mergeCell ref="A98:A99"/>
    <mergeCell ref="AG98:AG100"/>
    <mergeCell ref="G88:K89"/>
    <mergeCell ref="AA1:AE2"/>
    <mergeCell ref="AA60:AG61"/>
    <mergeCell ref="A82:A83"/>
    <mergeCell ref="AG82:AG84"/>
    <mergeCell ref="N49:O49"/>
    <mergeCell ref="N35:O35"/>
    <mergeCell ref="N37:O37"/>
    <mergeCell ref="N36:O36"/>
    <mergeCell ref="N46:O46"/>
    <mergeCell ref="N38:O38"/>
    <mergeCell ref="N39:O39"/>
    <mergeCell ref="L46:M46"/>
    <mergeCell ref="P117:R117"/>
    <mergeCell ref="P118:R118"/>
    <mergeCell ref="P113:R113"/>
    <mergeCell ref="P114:R114"/>
    <mergeCell ref="A94:A95"/>
    <mergeCell ref="A102:A103"/>
    <mergeCell ref="N111:O111"/>
    <mergeCell ref="C112:E118"/>
    <mergeCell ref="N112:O112"/>
    <mergeCell ref="N113:O113"/>
    <mergeCell ref="N114:O114"/>
    <mergeCell ref="N115:O115"/>
    <mergeCell ref="N116:O116"/>
    <mergeCell ref="N117:O117"/>
    <mergeCell ref="N118:O118"/>
    <mergeCell ref="H127:N127"/>
    <mergeCell ref="C51:E57"/>
    <mergeCell ref="P111:R111"/>
    <mergeCell ref="P112:R112"/>
    <mergeCell ref="N42:O42"/>
    <mergeCell ref="N43:O43"/>
    <mergeCell ref="N44:O44"/>
    <mergeCell ref="N47:O47"/>
    <mergeCell ref="F43:K43"/>
    <mergeCell ref="L43:M43"/>
    <mergeCell ref="F44:K44"/>
    <mergeCell ref="F46:K46"/>
    <mergeCell ref="F47:K47"/>
    <mergeCell ref="P115:R115"/>
    <mergeCell ref="P116:R116"/>
    <mergeCell ref="C111:E111"/>
  </mergeCells>
  <conditionalFormatting sqref="B74:K74">
    <cfRule type="cellIs" dxfId="612" priority="2005" stopIfTrue="1" operator="equal">
      <formula>"DOM"</formula>
    </cfRule>
  </conditionalFormatting>
  <conditionalFormatting sqref="B3:Q3">
    <cfRule type="cellIs" dxfId="611" priority="3752" stopIfTrue="1" operator="equal">
      <formula>"DOM"</formula>
    </cfRule>
  </conditionalFormatting>
  <conditionalFormatting sqref="B15:Q15">
    <cfRule type="cellIs" dxfId="610" priority="3446" stopIfTrue="1" operator="equal">
      <formula>"DOM"</formula>
    </cfRule>
  </conditionalFormatting>
  <conditionalFormatting sqref="B62:Q62">
    <cfRule type="cellIs" dxfId="609" priority="1473" stopIfTrue="1" operator="equal">
      <formula>"DOM"</formula>
    </cfRule>
  </conditionalFormatting>
  <conditionalFormatting sqref="B23:R23">
    <cfRule type="cellIs" dxfId="608" priority="3230" stopIfTrue="1" operator="equal">
      <formula>"DOM"</formula>
    </cfRule>
  </conditionalFormatting>
  <conditionalFormatting sqref="B82:R82">
    <cfRule type="cellIs" dxfId="607" priority="1394" stopIfTrue="1" operator="equal">
      <formula>"DOM"</formula>
    </cfRule>
  </conditionalFormatting>
  <conditionalFormatting sqref="B90:R90">
    <cfRule type="cellIs" dxfId="606" priority="1063" stopIfTrue="1" operator="equal">
      <formula>"DOM"</formula>
    </cfRule>
  </conditionalFormatting>
  <conditionalFormatting sqref="B94:R94">
    <cfRule type="cellIs" dxfId="605" priority="945" stopIfTrue="1" operator="equal">
      <formula>"DOM"</formula>
    </cfRule>
  </conditionalFormatting>
  <conditionalFormatting sqref="B98:R98">
    <cfRule type="cellIs" dxfId="604" priority="733" stopIfTrue="1" operator="equal">
      <formula>"DOM"</formula>
    </cfRule>
  </conditionalFormatting>
  <conditionalFormatting sqref="B106:R106">
    <cfRule type="cellIs" dxfId="603" priority="213" stopIfTrue="1" operator="equal">
      <formula>"DOM"</formula>
    </cfRule>
  </conditionalFormatting>
  <conditionalFormatting sqref="B11:S11">
    <cfRule type="cellIs" dxfId="602" priority="3557" stopIfTrue="1" operator="equal">
      <formula>"DOM"</formula>
    </cfRule>
  </conditionalFormatting>
  <conditionalFormatting sqref="B70:S70">
    <cfRule type="cellIs" dxfId="601" priority="2303" stopIfTrue="1" operator="equal">
      <formula>"DOM"</formula>
    </cfRule>
  </conditionalFormatting>
  <conditionalFormatting sqref="B19:T19">
    <cfRule type="cellIs" dxfId="600" priority="3320" stopIfTrue="1" operator="equal">
      <formula>"DOM"</formula>
    </cfRule>
  </conditionalFormatting>
  <conditionalFormatting sqref="B31:T31">
    <cfRule type="cellIs" dxfId="599" priority="3026" stopIfTrue="1" operator="equal">
      <formula>"DOM"</formula>
    </cfRule>
  </conditionalFormatting>
  <conditionalFormatting sqref="B7:U7">
    <cfRule type="cellIs" dxfId="598" priority="3644" stopIfTrue="1" operator="equal">
      <formula>"DOM"</formula>
    </cfRule>
  </conditionalFormatting>
  <conditionalFormatting sqref="B66:U66">
    <cfRule type="cellIs" dxfId="597" priority="2394" stopIfTrue="1" operator="equal">
      <formula>"DOM"</formula>
    </cfRule>
  </conditionalFormatting>
  <conditionalFormatting sqref="B78:U78">
    <cfRule type="cellIs" dxfId="596" priority="2100" stopIfTrue="1" operator="equal">
      <formula>"DOM"</formula>
    </cfRule>
  </conditionalFormatting>
  <conditionalFormatting sqref="B86:U86">
    <cfRule type="cellIs" dxfId="595" priority="1162" stopIfTrue="1" operator="equal">
      <formula>"DOM"</formula>
    </cfRule>
  </conditionalFormatting>
  <conditionalFormatting sqref="B27:V27">
    <cfRule type="cellIs" dxfId="594" priority="3113" stopIfTrue="1" operator="equal">
      <formula>"DOM"</formula>
    </cfRule>
  </conditionalFormatting>
  <conditionalFormatting sqref="B102:W102">
    <cfRule type="cellIs" dxfId="593" priority="300" stopIfTrue="1" operator="equal">
      <formula>"DOM"</formula>
    </cfRule>
  </conditionalFormatting>
  <conditionalFormatting sqref="I98:N98">
    <cfRule type="cellIs" dxfId="592" priority="410" stopIfTrue="1" operator="equal">
      <formula>"DOM"</formula>
    </cfRule>
  </conditionalFormatting>
  <conditionalFormatting sqref="J98:M98">
    <cfRule type="cellIs" dxfId="591" priority="422" stopIfTrue="1" operator="equal">
      <formula>"DOM"</formula>
    </cfRule>
  </conditionalFormatting>
  <conditionalFormatting sqref="K98:M98">
    <cfRule type="cellIs" dxfId="590" priority="436" stopIfTrue="1" operator="equal">
      <formula>"DOM"</formula>
    </cfRule>
  </conditionalFormatting>
  <conditionalFormatting sqref="K82:P82">
    <cfRule type="cellIs" dxfId="589" priority="1270" stopIfTrue="1" operator="equal">
      <formula>"DOM"</formula>
    </cfRule>
  </conditionalFormatting>
  <conditionalFormatting sqref="K94:P94">
    <cfRule type="cellIs" dxfId="588" priority="826" stopIfTrue="1" operator="equal">
      <formula>"DOM"</formula>
    </cfRule>
  </conditionalFormatting>
  <conditionalFormatting sqref="K98:P98">
    <cfRule type="cellIs" dxfId="587" priority="614" stopIfTrue="1" operator="equal">
      <formula>"DOM"</formula>
    </cfRule>
  </conditionalFormatting>
  <conditionalFormatting sqref="K106:P106">
    <cfRule type="cellIs" dxfId="586" priority="94" stopIfTrue="1" operator="equal">
      <formula>"DOM"</formula>
    </cfRule>
  </conditionalFormatting>
  <conditionalFormatting sqref="L98">
    <cfRule type="containsText" dxfId="585" priority="421" stopIfTrue="1" operator="containsText" text="SÁB">
      <formula>NOT(ISERROR(SEARCH("SÁB",L98)))</formula>
    </cfRule>
  </conditionalFormatting>
  <conditionalFormatting sqref="L82:O82">
    <cfRule type="cellIs" dxfId="584" priority="1282" stopIfTrue="1" operator="equal">
      <formula>"DOM"</formula>
    </cfRule>
  </conditionalFormatting>
  <conditionalFormatting sqref="L94:O94">
    <cfRule type="cellIs" dxfId="583" priority="838" stopIfTrue="1" operator="equal">
      <formula>"DOM"</formula>
    </cfRule>
  </conditionalFormatting>
  <conditionalFormatting sqref="L98:O98">
    <cfRule type="cellIs" dxfId="582" priority="626" stopIfTrue="1" operator="equal">
      <formula>"DOM"</formula>
    </cfRule>
  </conditionalFormatting>
  <conditionalFormatting sqref="L106:O106">
    <cfRule type="cellIs" dxfId="581" priority="106" stopIfTrue="1" operator="equal">
      <formula>"DOM"</formula>
    </cfRule>
  </conditionalFormatting>
  <conditionalFormatting sqref="L98:Q98">
    <cfRule type="cellIs" dxfId="580" priority="502" stopIfTrue="1" operator="equal">
      <formula>"DOM"</formula>
    </cfRule>
  </conditionalFormatting>
  <conditionalFormatting sqref="L74:W74">
    <cfRule type="cellIs" dxfId="579" priority="2187" stopIfTrue="1" operator="equal">
      <formula>"DOM"</formula>
    </cfRule>
  </conditionalFormatting>
  <conditionalFormatting sqref="M98">
    <cfRule type="containsText" dxfId="578" priority="435" stopIfTrue="1" operator="containsText" text="SÁB">
      <formula>NOT(ISERROR(SEARCH("SÁB",M98)))</formula>
    </cfRule>
  </conditionalFormatting>
  <conditionalFormatting sqref="M82:O82">
    <cfRule type="cellIs" dxfId="577" priority="1296" stopIfTrue="1" operator="equal">
      <formula>"DOM"</formula>
    </cfRule>
  </conditionalFormatting>
  <conditionalFormatting sqref="M94:O94">
    <cfRule type="cellIs" dxfId="576" priority="852" stopIfTrue="1" operator="equal">
      <formula>"DOM"</formula>
    </cfRule>
  </conditionalFormatting>
  <conditionalFormatting sqref="M98:O98">
    <cfRule type="cellIs" dxfId="575" priority="640" stopIfTrue="1" operator="equal">
      <formula>"DOM"</formula>
    </cfRule>
  </conditionalFormatting>
  <conditionalFormatting sqref="M106:O106">
    <cfRule type="cellIs" dxfId="574" priority="120" stopIfTrue="1" operator="equal">
      <formula>"DOM"</formula>
    </cfRule>
  </conditionalFormatting>
  <conditionalFormatting sqref="M98:P98">
    <cfRule type="cellIs" dxfId="573" priority="514" stopIfTrue="1" operator="equal">
      <formula>"DOM"</formula>
    </cfRule>
  </conditionalFormatting>
  <conditionalFormatting sqref="M15:R15">
    <cfRule type="cellIs" dxfId="572" priority="3416" stopIfTrue="1" operator="equal">
      <formula>"DOM"</formula>
    </cfRule>
  </conditionalFormatting>
  <conditionalFormatting sqref="M62:R62">
    <cfRule type="cellIs" dxfId="571" priority="1447" stopIfTrue="1" operator="equal">
      <formula>"DOM"</formula>
    </cfRule>
  </conditionalFormatting>
  <conditionalFormatting sqref="N82">
    <cfRule type="containsText" dxfId="570" priority="1281" stopIfTrue="1" operator="containsText" text="SÁB">
      <formula>NOT(ISERROR(SEARCH("SÁB",N82)))</formula>
    </cfRule>
  </conditionalFormatting>
  <conditionalFormatting sqref="N94">
    <cfRule type="containsText" dxfId="569" priority="837" stopIfTrue="1" operator="containsText" text="SÁB">
      <formula>NOT(ISERROR(SEARCH("SÁB",N94)))</formula>
    </cfRule>
  </conditionalFormatting>
  <conditionalFormatting sqref="N98">
    <cfRule type="containsText" dxfId="568" priority="411" stopIfTrue="1" operator="containsText" text="SÁB">
      <formula>NOT(ISERROR(SEARCH("SÁB",N98)))</formula>
    </cfRule>
    <cfRule type="containsText" dxfId="567" priority="625" stopIfTrue="1" operator="containsText" text="SÁB">
      <formula>NOT(ISERROR(SEARCH("SÁB",N98)))</formula>
    </cfRule>
  </conditionalFormatting>
  <conditionalFormatting sqref="N106">
    <cfRule type="containsText" dxfId="566" priority="105" stopIfTrue="1" operator="containsText" text="SÁB">
      <formula>NOT(ISERROR(SEARCH("SÁB",N106)))</formula>
    </cfRule>
  </conditionalFormatting>
  <conditionalFormatting sqref="N98:O98">
    <cfRule type="cellIs" dxfId="565" priority="406" stopIfTrue="1" operator="equal">
      <formula>"DOM"</formula>
    </cfRule>
    <cfRule type="containsText" dxfId="564" priority="407" stopIfTrue="1" operator="containsText" text="SÁB">
      <formula>NOT(ISERROR(SEARCH("SÁB",N98)))</formula>
    </cfRule>
  </conditionalFormatting>
  <conditionalFormatting sqref="N98:P98">
    <cfRule type="cellIs" dxfId="563" priority="528" stopIfTrue="1" operator="equal">
      <formula>"DOM"</formula>
    </cfRule>
  </conditionalFormatting>
  <conditionalFormatting sqref="N15:Q15">
    <cfRule type="cellIs" dxfId="562" priority="3432" stopIfTrue="1" operator="equal">
      <formula>"DOM"</formula>
    </cfRule>
  </conditionalFormatting>
  <conditionalFormatting sqref="N62:Q62">
    <cfRule type="cellIs" dxfId="561" priority="1459" stopIfTrue="1" operator="equal">
      <formula>"DOM"</formula>
    </cfRule>
  </conditionalFormatting>
  <conditionalFormatting sqref="N3:R3">
    <cfRule type="cellIs" dxfId="560" priority="3740" stopIfTrue="1" operator="equal">
      <formula>"DOM"</formula>
    </cfRule>
  </conditionalFormatting>
  <conditionalFormatting sqref="N82:S82">
    <cfRule type="cellIs" dxfId="559" priority="1368" stopIfTrue="1" operator="equal">
      <formula>"DOM"</formula>
    </cfRule>
  </conditionalFormatting>
  <conditionalFormatting sqref="N90:S90">
    <cfRule type="cellIs" dxfId="558" priority="1037" stopIfTrue="1" operator="equal">
      <formula>"DOM"</formula>
    </cfRule>
  </conditionalFormatting>
  <conditionalFormatting sqref="N94:S94">
    <cfRule type="cellIs" dxfId="557" priority="919" stopIfTrue="1" operator="equal">
      <formula>"DOM"</formula>
    </cfRule>
  </conditionalFormatting>
  <conditionalFormatting sqref="N98:S98">
    <cfRule type="cellIs" dxfId="556" priority="707" stopIfTrue="1" operator="equal">
      <formula>"DOM"</formula>
    </cfRule>
  </conditionalFormatting>
  <conditionalFormatting sqref="N106:S106">
    <cfRule type="cellIs" dxfId="555" priority="187" stopIfTrue="1" operator="equal">
      <formula>"DOM"</formula>
    </cfRule>
  </conditionalFormatting>
  <conditionalFormatting sqref="O82">
    <cfRule type="containsText" dxfId="554" priority="1295" stopIfTrue="1" operator="containsText" text="SÁB">
      <formula>NOT(ISERROR(SEARCH("SÁB",O82)))</formula>
    </cfRule>
  </conditionalFormatting>
  <conditionalFormatting sqref="O94">
    <cfRule type="containsText" dxfId="553" priority="851" stopIfTrue="1" operator="containsText" text="SÁB">
      <formula>NOT(ISERROR(SEARCH("SÁB",O94)))</formula>
    </cfRule>
  </conditionalFormatting>
  <conditionalFormatting sqref="O98">
    <cfRule type="containsText" dxfId="552" priority="513" stopIfTrue="1" operator="containsText" text="SÁB">
      <formula>NOT(ISERROR(SEARCH("SÁB",O98)))</formula>
    </cfRule>
    <cfRule type="containsText" dxfId="551" priority="639" stopIfTrue="1" operator="containsText" text="SÁB">
      <formula>NOT(ISERROR(SEARCH("SÁB",O98)))</formula>
    </cfRule>
  </conditionalFormatting>
  <conditionalFormatting sqref="O106">
    <cfRule type="containsText" dxfId="550" priority="119" stopIfTrue="1" operator="containsText" text="SÁB">
      <formula>NOT(ISERROR(SEARCH("SÁB",O106)))</formula>
    </cfRule>
  </conditionalFormatting>
  <conditionalFormatting sqref="O98:P98">
    <cfRule type="containsText" dxfId="549" priority="403" stopIfTrue="1" operator="containsText" text="SÁB">
      <formula>NOT(ISERROR(SEARCH("SÁB",O98)))</formula>
    </cfRule>
    <cfRule type="cellIs" dxfId="548" priority="402" stopIfTrue="1" operator="equal">
      <formula>"DOM"</formula>
    </cfRule>
  </conditionalFormatting>
  <conditionalFormatting sqref="O82:R82">
    <cfRule type="cellIs" dxfId="547" priority="1380" stopIfTrue="1" operator="equal">
      <formula>"DOM"</formula>
    </cfRule>
  </conditionalFormatting>
  <conditionalFormatting sqref="O90:R90">
    <cfRule type="cellIs" dxfId="546" priority="1049" stopIfTrue="1" operator="equal">
      <formula>"DOM"</formula>
    </cfRule>
  </conditionalFormatting>
  <conditionalFormatting sqref="O94:R94">
    <cfRule type="cellIs" dxfId="545" priority="931" stopIfTrue="1" operator="equal">
      <formula>"DOM"</formula>
    </cfRule>
  </conditionalFormatting>
  <conditionalFormatting sqref="O98:R98">
    <cfRule type="cellIs" dxfId="544" priority="719" stopIfTrue="1" operator="equal">
      <formula>"DOM"</formula>
    </cfRule>
  </conditionalFormatting>
  <conditionalFormatting sqref="O106:R106">
    <cfRule type="cellIs" dxfId="543" priority="199" stopIfTrue="1" operator="equal">
      <formula>"DOM"</formula>
    </cfRule>
  </conditionalFormatting>
  <conditionalFormatting sqref="O23:S23">
    <cfRule type="cellIs" dxfId="542" priority="3203" stopIfTrue="1" operator="equal">
      <formula>"DOM"</formula>
    </cfRule>
  </conditionalFormatting>
  <conditionalFormatting sqref="O70:T70">
    <cfRule type="cellIs" dxfId="541" priority="2277" stopIfTrue="1" operator="equal">
      <formula>"DOM"</formula>
    </cfRule>
  </conditionalFormatting>
  <conditionalFormatting sqref="P15">
    <cfRule type="containsText" dxfId="540" priority="3431" stopIfTrue="1" operator="containsText" text="SÁB">
      <formula>NOT(ISERROR(SEARCH("SÁB",P15)))</formula>
    </cfRule>
  </conditionalFormatting>
  <conditionalFormatting sqref="P62">
    <cfRule type="containsText" dxfId="539" priority="1458" stopIfTrue="1" operator="containsText" text="SÁB">
      <formula>NOT(ISERROR(SEARCH("SÁB",P62)))</formula>
    </cfRule>
  </conditionalFormatting>
  <conditionalFormatting sqref="P82">
    <cfRule type="containsText" dxfId="538" priority="1271" stopIfTrue="1" operator="containsText" text="SÁB">
      <formula>NOT(ISERROR(SEARCH("SÁB",P82)))</formula>
    </cfRule>
  </conditionalFormatting>
  <conditionalFormatting sqref="P94">
    <cfRule type="containsText" dxfId="537" priority="827" stopIfTrue="1" operator="containsText" text="SÁB">
      <formula>NOT(ISERROR(SEARCH("SÁB",P94)))</formula>
    </cfRule>
  </conditionalFormatting>
  <conditionalFormatting sqref="P98">
    <cfRule type="containsText" dxfId="536" priority="615" stopIfTrue="1" operator="containsText" text="SÁB">
      <formula>NOT(ISERROR(SEARCH("SÁB",P98)))</formula>
    </cfRule>
    <cfRule type="containsText" dxfId="535" priority="401" stopIfTrue="1" operator="containsText" text="SÁB">
      <formula>NOT(ISERROR(SEARCH("SÁB",P98)))</formula>
    </cfRule>
    <cfRule type="containsText" dxfId="534" priority="527" stopIfTrue="1" operator="containsText" text="SÁB">
      <formula>NOT(ISERROR(SEARCH("SÁB",P98)))</formula>
    </cfRule>
  </conditionalFormatting>
  <conditionalFormatting sqref="P106">
    <cfRule type="containsText" dxfId="533" priority="95" stopIfTrue="1" operator="containsText" text="SÁB">
      <formula>NOT(ISERROR(SEARCH("SÁB",P106)))</formula>
    </cfRule>
  </conditionalFormatting>
  <conditionalFormatting sqref="P82:Q82">
    <cfRule type="cellIs" dxfId="532" priority="1266" stopIfTrue="1" operator="equal">
      <formula>"DOM"</formula>
    </cfRule>
    <cfRule type="containsText" dxfId="531" priority="1267" stopIfTrue="1" operator="containsText" text="SÁB">
      <formula>NOT(ISERROR(SEARCH("SÁB",P82)))</formula>
    </cfRule>
  </conditionalFormatting>
  <conditionalFormatting sqref="P94:Q94">
    <cfRule type="cellIs" dxfId="530" priority="822" stopIfTrue="1" operator="equal">
      <formula>"DOM"</formula>
    </cfRule>
    <cfRule type="containsText" dxfId="529" priority="823" stopIfTrue="1" operator="containsText" text="SÁB">
      <formula>NOT(ISERROR(SEARCH("SÁB",P94)))</formula>
    </cfRule>
  </conditionalFormatting>
  <conditionalFormatting sqref="P98:Q98">
    <cfRule type="cellIs" dxfId="528" priority="610" stopIfTrue="1" operator="equal">
      <formula>"DOM"</formula>
    </cfRule>
    <cfRule type="containsText" dxfId="527" priority="611" stopIfTrue="1" operator="containsText" text="SÁB">
      <formula>NOT(ISERROR(SEARCH("SÁB",P98)))</formula>
    </cfRule>
  </conditionalFormatting>
  <conditionalFormatting sqref="P106:Q106">
    <cfRule type="containsText" dxfId="526" priority="91" stopIfTrue="1" operator="containsText" text="SÁB">
      <formula>NOT(ISERROR(SEARCH("SÁB",P106)))</formula>
    </cfRule>
    <cfRule type="cellIs" dxfId="525" priority="90" stopIfTrue="1" operator="equal">
      <formula>"DOM"</formula>
    </cfRule>
  </conditionalFormatting>
  <conditionalFormatting sqref="P70:S70">
    <cfRule type="cellIs" dxfId="524" priority="2289" stopIfTrue="1" operator="equal">
      <formula>"DOM"</formula>
    </cfRule>
  </conditionalFormatting>
  <conditionalFormatting sqref="P98:S98">
    <cfRule type="cellIs" dxfId="523" priority="380" stopIfTrue="1" operator="equal">
      <formula>"DOM"</formula>
    </cfRule>
  </conditionalFormatting>
  <conditionalFormatting sqref="P11:T11">
    <cfRule type="cellIs" dxfId="522" priority="3531" stopIfTrue="1" operator="equal">
      <formula>"DOM"</formula>
    </cfRule>
  </conditionalFormatting>
  <conditionalFormatting sqref="Q15">
    <cfRule type="containsText" dxfId="521" priority="3445" stopIfTrue="1" operator="containsText" text="SÁB">
      <formula>NOT(ISERROR(SEARCH("SÁB",Q15)))</formula>
    </cfRule>
  </conditionalFormatting>
  <conditionalFormatting sqref="Q62">
    <cfRule type="containsText" dxfId="520" priority="1472" stopIfTrue="1" operator="containsText" text="SÁB">
      <formula>NOT(ISERROR(SEARCH("SÁB",Q62)))</formula>
    </cfRule>
  </conditionalFormatting>
  <conditionalFormatting sqref="Q82">
    <cfRule type="containsText" dxfId="519" priority="1379" stopIfTrue="1" operator="containsText" text="SÁB">
      <formula>NOT(ISERROR(SEARCH("SÁB",Q82)))</formula>
    </cfRule>
  </conditionalFormatting>
  <conditionalFormatting sqref="Q90">
    <cfRule type="containsText" dxfId="518" priority="1048" stopIfTrue="1" operator="containsText" text="SÁB">
      <formula>NOT(ISERROR(SEARCH("SÁB",Q90)))</formula>
    </cfRule>
  </conditionalFormatting>
  <conditionalFormatting sqref="Q94">
    <cfRule type="containsText" dxfId="517" priority="930" stopIfTrue="1" operator="containsText" text="SÁB">
      <formula>NOT(ISERROR(SEARCH("SÁB",Q94)))</formula>
    </cfRule>
  </conditionalFormatting>
  <conditionalFormatting sqref="Q98">
    <cfRule type="containsText" dxfId="516" priority="503" stopIfTrue="1" operator="containsText" text="SÁB">
      <formula>NOT(ISERROR(SEARCH("SÁB",Q98)))</formula>
    </cfRule>
    <cfRule type="containsText" dxfId="515" priority="718" stopIfTrue="1" operator="containsText" text="SÁB">
      <formula>NOT(ISERROR(SEARCH("SÁB",Q98)))</formula>
    </cfRule>
  </conditionalFormatting>
  <conditionalFormatting sqref="Q106">
    <cfRule type="containsText" dxfId="514" priority="198" stopIfTrue="1" operator="containsText" text="SÁB">
      <formula>NOT(ISERROR(SEARCH("SÁB",Q106)))</formula>
    </cfRule>
  </conditionalFormatting>
  <conditionalFormatting sqref="Q3:R3">
    <cfRule type="containsText" dxfId="513" priority="3741" stopIfTrue="1" operator="containsText" text="SÁB">
      <formula>NOT(ISERROR(SEARCH("SÁB",Q3)))</formula>
    </cfRule>
  </conditionalFormatting>
  <conditionalFormatting sqref="Q82:R82">
    <cfRule type="containsText" dxfId="512" priority="1263" stopIfTrue="1" operator="containsText" text="SÁB">
      <formula>NOT(ISERROR(SEARCH("SÁB",Q82)))</formula>
    </cfRule>
    <cfRule type="cellIs" dxfId="511" priority="1262" stopIfTrue="1" operator="equal">
      <formula>"DOM"</formula>
    </cfRule>
  </conditionalFormatting>
  <conditionalFormatting sqref="Q94:R94">
    <cfRule type="containsText" dxfId="510" priority="819" stopIfTrue="1" operator="containsText" text="SÁB">
      <formula>NOT(ISERROR(SEARCH("SÁB",Q94)))</formula>
    </cfRule>
    <cfRule type="cellIs" dxfId="509" priority="818" stopIfTrue="1" operator="equal">
      <formula>"DOM"</formula>
    </cfRule>
  </conditionalFormatting>
  <conditionalFormatting sqref="Q98:R98">
    <cfRule type="containsText" dxfId="508" priority="607" stopIfTrue="1" operator="containsText" text="SÁB">
      <formula>NOT(ISERROR(SEARCH("SÁB",Q98)))</formula>
    </cfRule>
    <cfRule type="containsText" dxfId="507" priority="499" stopIfTrue="1" operator="containsText" text="SÁB">
      <formula>NOT(ISERROR(SEARCH("SÁB",Q98)))</formula>
    </cfRule>
    <cfRule type="cellIs" dxfId="506" priority="498" stopIfTrue="1" operator="equal">
      <formula>"DOM"</formula>
    </cfRule>
    <cfRule type="cellIs" dxfId="505" priority="606" stopIfTrue="1" operator="equal">
      <formula>"DOM"</formula>
    </cfRule>
  </conditionalFormatting>
  <conditionalFormatting sqref="Q106:R106">
    <cfRule type="cellIs" dxfId="504" priority="86" stopIfTrue="1" operator="equal">
      <formula>"DOM"</formula>
    </cfRule>
    <cfRule type="containsText" dxfId="503" priority="87" stopIfTrue="1" operator="containsText" text="SÁB">
      <formula>NOT(ISERROR(SEARCH("SÁB",Q106)))</formula>
    </cfRule>
  </conditionalFormatting>
  <conditionalFormatting sqref="Q11:S11">
    <cfRule type="cellIs" dxfId="502" priority="3544" stopIfTrue="1" operator="equal">
      <formula>"DOM"</formula>
    </cfRule>
  </conditionalFormatting>
  <conditionalFormatting sqref="Q98:T98">
    <cfRule type="cellIs" dxfId="501" priority="374" stopIfTrue="1" operator="equal">
      <formula>"DOM"</formula>
    </cfRule>
  </conditionalFormatting>
  <conditionalFormatting sqref="Q19:U19">
    <cfRule type="cellIs" dxfId="500" priority="3294" stopIfTrue="1" operator="equal">
      <formula>"DOM"</formula>
    </cfRule>
  </conditionalFormatting>
  <conditionalFormatting sqref="Q31:U31">
    <cfRule type="cellIs" dxfId="499" priority="3000" stopIfTrue="1" operator="equal">
      <formula>"DOM"</formula>
    </cfRule>
  </conditionalFormatting>
  <conditionalFormatting sqref="Q66:V66">
    <cfRule type="cellIs" dxfId="498" priority="2368" stopIfTrue="1" operator="equal">
      <formula>"DOM"</formula>
    </cfRule>
  </conditionalFormatting>
  <conditionalFormatting sqref="Q78:V78">
    <cfRule type="cellIs" dxfId="497" priority="2074" stopIfTrue="1" operator="equal">
      <formula>"DOM"</formula>
    </cfRule>
  </conditionalFormatting>
  <conditionalFormatting sqref="Q86:V86">
    <cfRule type="cellIs" dxfId="496" priority="1136" stopIfTrue="1" operator="equal">
      <formula>"DOM"</formula>
    </cfRule>
  </conditionalFormatting>
  <conditionalFormatting sqref="Q98:X98">
    <cfRule type="cellIs" dxfId="495" priority="676" stopIfTrue="1" operator="equal">
      <formula>"DOM"</formula>
    </cfRule>
  </conditionalFormatting>
  <conditionalFormatting sqref="R11">
    <cfRule type="containsText" dxfId="494" priority="3542" stopIfTrue="1" operator="containsText" text="SÁB">
      <formula>NOT(ISERROR(SEARCH("SÁB",R11)))</formula>
    </cfRule>
  </conditionalFormatting>
  <conditionalFormatting sqref="R15">
    <cfRule type="containsText" dxfId="493" priority="3417" stopIfTrue="1" operator="containsText" text="SÁB">
      <formula>NOT(ISERROR(SEARCH("SÁB",R15)))</formula>
    </cfRule>
  </conditionalFormatting>
  <conditionalFormatting sqref="R62">
    <cfRule type="containsText" dxfId="492" priority="1448" stopIfTrue="1" operator="containsText" text="SÁB">
      <formula>NOT(ISERROR(SEARCH("SÁB",R62)))</formula>
    </cfRule>
  </conditionalFormatting>
  <conditionalFormatting sqref="R70">
    <cfRule type="containsText" dxfId="491" priority="2288" stopIfTrue="1" operator="containsText" text="SÁB">
      <formula>NOT(ISERROR(SEARCH("SÁB",R70)))</formula>
    </cfRule>
  </conditionalFormatting>
  <conditionalFormatting sqref="R82">
    <cfRule type="containsText" dxfId="490" priority="1393" stopIfTrue="1" operator="containsText" text="SÁB">
      <formula>NOT(ISERROR(SEARCH("SÁB",R82)))</formula>
    </cfRule>
    <cfRule type="containsText" dxfId="489" priority="1261" stopIfTrue="1" operator="containsText" text="SÁB">
      <formula>NOT(ISERROR(SEARCH("SÁB",R82)))</formula>
    </cfRule>
  </conditionalFormatting>
  <conditionalFormatting sqref="R90">
    <cfRule type="containsText" dxfId="488" priority="1062" stopIfTrue="1" operator="containsText" text="SÁB">
      <formula>NOT(ISERROR(SEARCH("SÁB",R90)))</formula>
    </cfRule>
  </conditionalFormatting>
  <conditionalFormatting sqref="R94">
    <cfRule type="containsText" dxfId="487" priority="817" stopIfTrue="1" operator="containsText" text="SÁB">
      <formula>NOT(ISERROR(SEARCH("SÁB",R94)))</formula>
    </cfRule>
    <cfRule type="containsText" dxfId="486" priority="944" stopIfTrue="1" operator="containsText" text="SÁB">
      <formula>NOT(ISERROR(SEARCH("SÁB",R94)))</formula>
    </cfRule>
  </conditionalFormatting>
  <conditionalFormatting sqref="R98">
    <cfRule type="containsText" dxfId="485" priority="732" stopIfTrue="1" operator="containsText" text="SÁB">
      <formula>NOT(ISERROR(SEARCH("SÁB",R98)))</formula>
    </cfRule>
    <cfRule type="containsText" dxfId="484" priority="605" stopIfTrue="1" operator="containsText" text="SÁB">
      <formula>NOT(ISERROR(SEARCH("SÁB",R98)))</formula>
    </cfRule>
  </conditionalFormatting>
  <conditionalFormatting sqref="R106">
    <cfRule type="containsText" dxfId="483" priority="85" stopIfTrue="1" operator="containsText" text="SÁB">
      <formula>NOT(ISERROR(SEARCH("SÁB",R106)))</formula>
    </cfRule>
    <cfRule type="containsText" dxfId="482" priority="212" stopIfTrue="1" operator="containsText" text="SÁB">
      <formula>NOT(ISERROR(SEARCH("SÁB",R106)))</formula>
    </cfRule>
  </conditionalFormatting>
  <conditionalFormatting sqref="R3:S3">
    <cfRule type="containsText" dxfId="481" priority="3737" stopIfTrue="1" operator="containsText" text="SÁB">
      <formula>NOT(ISERROR(SEARCH("SÁB",R3)))</formula>
    </cfRule>
    <cfRule type="cellIs" dxfId="480" priority="3736" stopIfTrue="1" operator="equal">
      <formula>"DOM"</formula>
    </cfRule>
  </conditionalFormatting>
  <conditionalFormatting sqref="R15:S15">
    <cfRule type="containsText" dxfId="479" priority="3413" stopIfTrue="1" operator="containsText" text="SÁB">
      <formula>NOT(ISERROR(SEARCH("SÁB",R15)))</formula>
    </cfRule>
    <cfRule type="cellIs" dxfId="478" priority="3412" stopIfTrue="1" operator="equal">
      <formula>"DOM"</formula>
    </cfRule>
  </conditionalFormatting>
  <conditionalFormatting sqref="R23:S23">
    <cfRule type="containsText" dxfId="477" priority="3204" stopIfTrue="1" operator="containsText" text="SÁB">
      <formula>NOT(ISERROR(SEARCH("SÁB",R23)))</formula>
    </cfRule>
  </conditionalFormatting>
  <conditionalFormatting sqref="R62:S62">
    <cfRule type="containsText" dxfId="476" priority="1444" stopIfTrue="1" operator="containsText" text="SÁB">
      <formula>NOT(ISERROR(SEARCH("SÁB",R62)))</formula>
    </cfRule>
    <cfRule type="cellIs" dxfId="475" priority="1443" stopIfTrue="1" operator="equal">
      <formula>"DOM"</formula>
    </cfRule>
  </conditionalFormatting>
  <conditionalFormatting sqref="R98:S98">
    <cfRule type="cellIs" dxfId="474" priority="494" stopIfTrue="1" operator="equal">
      <formula>"DOM"</formula>
    </cfRule>
    <cfRule type="containsText" dxfId="473" priority="495" stopIfTrue="1" operator="containsText" text="SÁB">
      <formula>NOT(ISERROR(SEARCH("SÁB",R98)))</formula>
    </cfRule>
  </conditionalFormatting>
  <conditionalFormatting sqref="R19:T19">
    <cfRule type="cellIs" dxfId="472" priority="3306" stopIfTrue="1" operator="equal">
      <formula>"DOM"</formula>
    </cfRule>
  </conditionalFormatting>
  <conditionalFormatting sqref="R31:T31">
    <cfRule type="cellIs" dxfId="471" priority="3012" stopIfTrue="1" operator="equal">
      <formula>"DOM"</formula>
    </cfRule>
  </conditionalFormatting>
  <conditionalFormatting sqref="R7:U7">
    <cfRule type="cellIs" dxfId="470" priority="3630" stopIfTrue="1" operator="equal">
      <formula>"DOM"</formula>
    </cfRule>
  </conditionalFormatting>
  <conditionalFormatting sqref="R66:U66">
    <cfRule type="cellIs" dxfId="469" priority="2380" stopIfTrue="1" operator="equal">
      <formula>"DOM"</formula>
    </cfRule>
  </conditionalFormatting>
  <conditionalFormatting sqref="R78:U78">
    <cfRule type="cellIs" dxfId="468" priority="2086" stopIfTrue="1" operator="equal">
      <formula>"DOM"</formula>
    </cfRule>
  </conditionalFormatting>
  <conditionalFormatting sqref="R82:U82">
    <cfRule type="cellIs" dxfId="467" priority="1240" stopIfTrue="1" operator="equal">
      <formula>"DOM"</formula>
    </cfRule>
  </conditionalFormatting>
  <conditionalFormatting sqref="R86:U86">
    <cfRule type="cellIs" dxfId="466" priority="1148" stopIfTrue="1" operator="equal">
      <formula>"DOM"</formula>
    </cfRule>
  </conditionalFormatting>
  <conditionalFormatting sqref="R94:U94">
    <cfRule type="cellIs" dxfId="465" priority="796" stopIfTrue="1" operator="equal">
      <formula>"DOM"</formula>
    </cfRule>
  </conditionalFormatting>
  <conditionalFormatting sqref="R98:U98">
    <cfRule type="cellIs" dxfId="464" priority="584" stopIfTrue="1" operator="equal">
      <formula>"DOM"</formula>
    </cfRule>
  </conditionalFormatting>
  <conditionalFormatting sqref="R106:U106">
    <cfRule type="cellIs" dxfId="463" priority="64" stopIfTrue="1" operator="equal">
      <formula>"DOM"</formula>
    </cfRule>
  </conditionalFormatting>
  <conditionalFormatting sqref="R7:V7">
    <cfRule type="cellIs" dxfId="462" priority="3618" stopIfTrue="1" operator="equal">
      <formula>"DOM"</formula>
    </cfRule>
  </conditionalFormatting>
  <conditionalFormatting sqref="R27:W27">
    <cfRule type="cellIs" dxfId="461" priority="3087" stopIfTrue="1" operator="equal">
      <formula>"DOM"</formula>
    </cfRule>
  </conditionalFormatting>
  <conditionalFormatting sqref="S11">
    <cfRule type="containsText" dxfId="460" priority="3556" stopIfTrue="1" operator="containsText" text="SÁB">
      <formula>NOT(ISERROR(SEARCH("SÁB",S11)))</formula>
    </cfRule>
  </conditionalFormatting>
  <conditionalFormatting sqref="S15">
    <cfRule type="containsText" dxfId="459" priority="3411" stopIfTrue="1" operator="containsText" text="SÁB">
      <formula>NOT(ISERROR(SEARCH("SÁB",S15)))</formula>
    </cfRule>
  </conditionalFormatting>
  <conditionalFormatting sqref="S19">
    <cfRule type="containsText" dxfId="458" priority="3305" stopIfTrue="1" operator="containsText" text="SÁB">
      <formula>NOT(ISERROR(SEARCH("SÁB",S19)))</formula>
    </cfRule>
  </conditionalFormatting>
  <conditionalFormatting sqref="S31">
    <cfRule type="containsText" dxfId="457" priority="3011" stopIfTrue="1" operator="containsText" text="SÁB">
      <formula>NOT(ISERROR(SEARCH("SÁB",S31)))</formula>
    </cfRule>
  </conditionalFormatting>
  <conditionalFormatting sqref="S70">
    <cfRule type="containsText" dxfId="456" priority="2302" stopIfTrue="1" operator="containsText" text="SÁB">
      <formula>NOT(ISERROR(SEARCH("SÁB",S70)))</formula>
    </cfRule>
  </conditionalFormatting>
  <conditionalFormatting sqref="S82">
    <cfRule type="containsText" dxfId="455" priority="1369" stopIfTrue="1" operator="containsText" text="SÁB">
      <formula>NOT(ISERROR(SEARCH("SÁB",S82)))</formula>
    </cfRule>
  </conditionalFormatting>
  <conditionalFormatting sqref="S90">
    <cfRule type="containsText" dxfId="454" priority="1038" stopIfTrue="1" operator="containsText" text="SÁB">
      <formula>NOT(ISERROR(SEARCH("SÁB",S90)))</formula>
    </cfRule>
  </conditionalFormatting>
  <conditionalFormatting sqref="S94">
    <cfRule type="containsText" dxfId="453" priority="920" stopIfTrue="1" operator="containsText" text="SÁB">
      <formula>NOT(ISERROR(SEARCH("SÁB",S94)))</formula>
    </cfRule>
  </conditionalFormatting>
  <conditionalFormatting sqref="S98">
    <cfRule type="containsText" dxfId="452" priority="708" stopIfTrue="1" operator="containsText" text="SÁB">
      <formula>NOT(ISERROR(SEARCH("SÁB",S98)))</formula>
    </cfRule>
    <cfRule type="containsText" dxfId="451" priority="493" stopIfTrue="1" operator="containsText" text="SÁB">
      <formula>NOT(ISERROR(SEARCH("SÁB",S98)))</formula>
    </cfRule>
    <cfRule type="containsText" dxfId="450" priority="379" stopIfTrue="1" operator="containsText" text="SÁB">
      <formula>NOT(ISERROR(SEARCH("SÁB",S98)))</formula>
    </cfRule>
  </conditionalFormatting>
  <conditionalFormatting sqref="S106">
    <cfRule type="containsText" dxfId="449" priority="188" stopIfTrue="1" operator="containsText" text="SÁB">
      <formula>NOT(ISERROR(SEARCH("SÁB",S106)))</formula>
    </cfRule>
  </conditionalFormatting>
  <conditionalFormatting sqref="S3:T3">
    <cfRule type="cellIs" dxfId="448" priority="3732" stopIfTrue="1" operator="equal">
      <formula>"DOM"</formula>
    </cfRule>
    <cfRule type="containsText" dxfId="447" priority="3733" stopIfTrue="1" operator="containsText" text="SÁB">
      <formula>NOT(ISERROR(SEARCH("SÁB",S3)))</formula>
    </cfRule>
  </conditionalFormatting>
  <conditionalFormatting sqref="S23:T23">
    <cfRule type="containsText" dxfId="446" priority="3200" stopIfTrue="1" operator="containsText" text="SÁB">
      <formula>NOT(ISERROR(SEARCH("SÁB",S23)))</formula>
    </cfRule>
    <cfRule type="cellIs" dxfId="445" priority="3199" stopIfTrue="1" operator="equal">
      <formula>"DOM"</formula>
    </cfRule>
  </conditionalFormatting>
  <conditionalFormatting sqref="S62:T62">
    <cfRule type="containsText" dxfId="444" priority="1440" stopIfTrue="1" operator="containsText" text="SÁB">
      <formula>NOT(ISERROR(SEARCH("SÁB",S62)))</formula>
    </cfRule>
    <cfRule type="cellIs" dxfId="443" priority="1439" stopIfTrue="1" operator="equal">
      <formula>"DOM"</formula>
    </cfRule>
  </conditionalFormatting>
  <conditionalFormatting sqref="S82:T82">
    <cfRule type="containsText" dxfId="442" priority="1365" stopIfTrue="1" operator="containsText" text="SÁB">
      <formula>NOT(ISERROR(SEARCH("SÁB",S82)))</formula>
    </cfRule>
    <cfRule type="cellIs" dxfId="441" priority="1364" stopIfTrue="1" operator="equal">
      <formula>"DOM"</formula>
    </cfRule>
  </conditionalFormatting>
  <conditionalFormatting sqref="S90:T90">
    <cfRule type="cellIs" dxfId="440" priority="1033" stopIfTrue="1" operator="equal">
      <formula>"DOM"</formula>
    </cfRule>
    <cfRule type="containsText" dxfId="439" priority="1034" stopIfTrue="1" operator="containsText" text="SÁB">
      <formula>NOT(ISERROR(SEARCH("SÁB",S90)))</formula>
    </cfRule>
  </conditionalFormatting>
  <conditionalFormatting sqref="S94:T94">
    <cfRule type="containsText" dxfId="438" priority="916" stopIfTrue="1" operator="containsText" text="SÁB">
      <formula>NOT(ISERROR(SEARCH("SÁB",S94)))</formula>
    </cfRule>
    <cfRule type="cellIs" dxfId="437" priority="915" stopIfTrue="1" operator="equal">
      <formula>"DOM"</formula>
    </cfRule>
  </conditionalFormatting>
  <conditionalFormatting sqref="S98:T98">
    <cfRule type="containsText" dxfId="436" priority="704" stopIfTrue="1" operator="containsText" text="SÁB">
      <formula>NOT(ISERROR(SEARCH("SÁB",S98)))</formula>
    </cfRule>
    <cfRule type="cellIs" dxfId="435" priority="703" stopIfTrue="1" operator="equal">
      <formula>"DOM"</formula>
    </cfRule>
  </conditionalFormatting>
  <conditionalFormatting sqref="S106:T106">
    <cfRule type="containsText" dxfId="434" priority="184" stopIfTrue="1" operator="containsText" text="SÁB">
      <formula>NOT(ISERROR(SEARCH("SÁB",S106)))</formula>
    </cfRule>
    <cfRule type="cellIs" dxfId="433" priority="183" stopIfTrue="1" operator="equal">
      <formula>"DOM"</formula>
    </cfRule>
  </conditionalFormatting>
  <conditionalFormatting sqref="S15:V15">
    <cfRule type="cellIs" dxfId="432" priority="3389" stopIfTrue="1" operator="equal">
      <formula>"DOM"</formula>
    </cfRule>
  </conditionalFormatting>
  <conditionalFormatting sqref="S27:V27">
    <cfRule type="cellIs" dxfId="431" priority="3099" stopIfTrue="1" operator="equal">
      <formula>"DOM"</formula>
    </cfRule>
  </conditionalFormatting>
  <conditionalFormatting sqref="S82:V82">
    <cfRule type="cellIs" dxfId="430" priority="1234" stopIfTrue="1" operator="equal">
      <formula>"DOM"</formula>
    </cfRule>
  </conditionalFormatting>
  <conditionalFormatting sqref="S94:V94">
    <cfRule type="cellIs" dxfId="429" priority="790" stopIfTrue="1" operator="equal">
      <formula>"DOM"</formula>
    </cfRule>
  </conditionalFormatting>
  <conditionalFormatting sqref="S98:V98">
    <cfRule type="cellIs" dxfId="428" priority="472" stopIfTrue="1" operator="equal">
      <formula>"DOM"</formula>
    </cfRule>
    <cfRule type="cellIs" dxfId="427" priority="578" stopIfTrue="1" operator="equal">
      <formula>"DOM"</formula>
    </cfRule>
  </conditionalFormatting>
  <conditionalFormatting sqref="S106:V106">
    <cfRule type="cellIs" dxfId="426" priority="58" stopIfTrue="1" operator="equal">
      <formula>"DOM"</formula>
    </cfRule>
  </conditionalFormatting>
  <conditionalFormatting sqref="S74:X74">
    <cfRule type="cellIs" dxfId="425" priority="2161" stopIfTrue="1" operator="equal">
      <formula>"DOM"</formula>
    </cfRule>
  </conditionalFormatting>
  <conditionalFormatting sqref="S82:X82">
    <cfRule type="cellIs" dxfId="424" priority="1337" stopIfTrue="1" operator="equal">
      <formula>"DOM"</formula>
    </cfRule>
  </conditionalFormatting>
  <conditionalFormatting sqref="S94:X94">
    <cfRule type="cellIs" dxfId="423" priority="888" stopIfTrue="1" operator="equal">
      <formula>"DOM"</formula>
    </cfRule>
  </conditionalFormatting>
  <conditionalFormatting sqref="S102:X102">
    <cfRule type="cellIs" dxfId="422" priority="274" stopIfTrue="1" operator="equal">
      <formula>"DOM"</formula>
    </cfRule>
  </conditionalFormatting>
  <conditionalFormatting sqref="S106:X106">
    <cfRule type="cellIs" dxfId="421" priority="156" stopIfTrue="1" operator="equal">
      <formula>"DOM"</formula>
    </cfRule>
  </conditionalFormatting>
  <conditionalFormatting sqref="T3">
    <cfRule type="containsText" dxfId="420" priority="3731" stopIfTrue="1" operator="containsText" text="SÁB">
      <formula>NOT(ISERROR(SEARCH("SÁB",T3)))</formula>
    </cfRule>
  </conditionalFormatting>
  <conditionalFormatting sqref="T7">
    <cfRule type="containsText" dxfId="419" priority="3629" stopIfTrue="1" operator="containsText" text="SÁB">
      <formula>NOT(ISERROR(SEARCH("SÁB",T7)))</formula>
    </cfRule>
  </conditionalFormatting>
  <conditionalFormatting sqref="T11">
    <cfRule type="containsText" dxfId="418" priority="3532" stopIfTrue="1" operator="containsText" text="SÁB">
      <formula>NOT(ISERROR(SEARCH("SÁB",T11)))</formula>
    </cfRule>
  </conditionalFormatting>
  <conditionalFormatting sqref="T19">
    <cfRule type="containsText" dxfId="417" priority="3319" stopIfTrue="1" operator="containsText" text="SÁB">
      <formula>NOT(ISERROR(SEARCH("SÁB",T19)))</formula>
    </cfRule>
  </conditionalFormatting>
  <conditionalFormatting sqref="T31">
    <cfRule type="containsText" dxfId="416" priority="3025" stopIfTrue="1" operator="containsText" text="SÁB">
      <formula>NOT(ISERROR(SEARCH("SÁB",T31)))</formula>
    </cfRule>
  </conditionalFormatting>
  <conditionalFormatting sqref="T62">
    <cfRule type="containsText" dxfId="415" priority="1438" stopIfTrue="1" operator="containsText" text="SÁB">
      <formula>NOT(ISERROR(SEARCH("SÁB",T62)))</formula>
    </cfRule>
  </conditionalFormatting>
  <conditionalFormatting sqref="T66">
    <cfRule type="containsText" dxfId="414" priority="2379" stopIfTrue="1" operator="containsText" text="SÁB">
      <formula>NOT(ISERROR(SEARCH("SÁB",T66)))</formula>
    </cfRule>
  </conditionalFormatting>
  <conditionalFormatting sqref="T70">
    <cfRule type="containsText" dxfId="413" priority="2278" stopIfTrue="1" operator="containsText" text="SÁB">
      <formula>NOT(ISERROR(SEARCH("SÁB",T70)))</formula>
    </cfRule>
  </conditionalFormatting>
  <conditionalFormatting sqref="T78">
    <cfRule type="containsText" dxfId="412" priority="2085" stopIfTrue="1" operator="containsText" text="SÁB">
      <formula>NOT(ISERROR(SEARCH("SÁB",T78)))</formula>
    </cfRule>
  </conditionalFormatting>
  <conditionalFormatting sqref="T86">
    <cfRule type="containsText" dxfId="411" priority="1147" stopIfTrue="1" operator="containsText" text="SÁB">
      <formula>NOT(ISERROR(SEARCH("SÁB",T86)))</formula>
    </cfRule>
  </conditionalFormatting>
  <conditionalFormatting sqref="T11:U11">
    <cfRule type="cellIs" dxfId="410" priority="3527" stopIfTrue="1" operator="equal">
      <formula>"DOM"</formula>
    </cfRule>
    <cfRule type="containsText" dxfId="409" priority="3528" stopIfTrue="1" operator="containsText" text="SÁB">
      <formula>NOT(ISERROR(SEARCH("SÁB",T11)))</formula>
    </cfRule>
  </conditionalFormatting>
  <conditionalFormatting sqref="T23:U23">
    <cfRule type="cellIs" dxfId="408" priority="3195" stopIfTrue="1" operator="equal">
      <formula>"DOM"</formula>
    </cfRule>
    <cfRule type="containsText" dxfId="407" priority="3196" stopIfTrue="1" operator="containsText" text="SÁB">
      <formula>NOT(ISERROR(SEARCH("SÁB",T23)))</formula>
    </cfRule>
  </conditionalFormatting>
  <conditionalFormatting sqref="T70:U70">
    <cfRule type="cellIs" dxfId="406" priority="2273" stopIfTrue="1" operator="equal">
      <formula>"DOM"</formula>
    </cfRule>
    <cfRule type="containsText" dxfId="405" priority="2274" stopIfTrue="1" operator="containsText" text="SÁB">
      <formula>NOT(ISERROR(SEARCH("SÁB",T70)))</formula>
    </cfRule>
  </conditionalFormatting>
  <conditionalFormatting sqref="T82:U82">
    <cfRule type="cellIs" dxfId="404" priority="1360" stopIfTrue="1" operator="equal">
      <formula>"DOM"</formula>
    </cfRule>
    <cfRule type="containsText" dxfId="403" priority="1361" stopIfTrue="1" operator="containsText" text="SÁB">
      <formula>NOT(ISERROR(SEARCH("SÁB",T82)))</formula>
    </cfRule>
  </conditionalFormatting>
  <conditionalFormatting sqref="T90:U90">
    <cfRule type="cellIs" dxfId="402" priority="1029" stopIfTrue="1" operator="equal">
      <formula>"DOM"</formula>
    </cfRule>
    <cfRule type="containsText" dxfId="401" priority="1030" stopIfTrue="1" operator="containsText" text="SÁB">
      <formula>NOT(ISERROR(SEARCH("SÁB",T90)))</formula>
    </cfRule>
  </conditionalFormatting>
  <conditionalFormatting sqref="T94:U94">
    <cfRule type="containsText" dxfId="400" priority="912" stopIfTrue="1" operator="containsText" text="SÁB">
      <formula>NOT(ISERROR(SEARCH("SÁB",T94)))</formula>
    </cfRule>
    <cfRule type="cellIs" dxfId="399" priority="911" stopIfTrue="1" operator="equal">
      <formula>"DOM"</formula>
    </cfRule>
  </conditionalFormatting>
  <conditionalFormatting sqref="T98:U98">
    <cfRule type="containsText" dxfId="398" priority="369" stopIfTrue="1" operator="containsText" text="SÁB">
      <formula>NOT(ISERROR(SEARCH("SÁB",T98)))</formula>
    </cfRule>
    <cfRule type="containsText" dxfId="397" priority="700" stopIfTrue="1" operator="containsText" text="SÁB">
      <formula>NOT(ISERROR(SEARCH("SÁB",T98)))</formula>
    </cfRule>
    <cfRule type="cellIs" dxfId="396" priority="368" stopIfTrue="1" operator="equal">
      <formula>"DOM"</formula>
    </cfRule>
    <cfRule type="cellIs" dxfId="395" priority="699" stopIfTrue="1" operator="equal">
      <formula>"DOM"</formula>
    </cfRule>
  </conditionalFormatting>
  <conditionalFormatting sqref="T106:U106">
    <cfRule type="cellIs" dxfId="394" priority="179" stopIfTrue="1" operator="equal">
      <formula>"DOM"</formula>
    </cfRule>
    <cfRule type="containsText" dxfId="393" priority="180" stopIfTrue="1" operator="containsText" text="SÁB">
      <formula>NOT(ISERROR(SEARCH("SÁB",T106)))</formula>
    </cfRule>
  </conditionalFormatting>
  <conditionalFormatting sqref="T3:W3">
    <cfRule type="cellIs" dxfId="392" priority="3709" stopIfTrue="1" operator="equal">
      <formula>"DOM"</formula>
    </cfRule>
  </conditionalFormatting>
  <conditionalFormatting sqref="T15:W15">
    <cfRule type="cellIs" dxfId="391" priority="3383" stopIfTrue="1" operator="equal">
      <formula>"DOM"</formula>
    </cfRule>
  </conditionalFormatting>
  <conditionalFormatting sqref="T62:W62">
    <cfRule type="cellIs" dxfId="390" priority="1416" stopIfTrue="1" operator="equal">
      <formula>"DOM"</formula>
    </cfRule>
  </conditionalFormatting>
  <conditionalFormatting sqref="T74:W74">
    <cfRule type="cellIs" dxfId="389" priority="2173" stopIfTrue="1" operator="equal">
      <formula>"DOM"</formula>
    </cfRule>
  </conditionalFormatting>
  <conditionalFormatting sqref="T98:W98">
    <cfRule type="cellIs" dxfId="388" priority="466" stopIfTrue="1" operator="equal">
      <formula>"DOM"</formula>
    </cfRule>
  </conditionalFormatting>
  <conditionalFormatting sqref="T102:W102">
    <cfRule type="cellIs" dxfId="387" priority="286" stopIfTrue="1" operator="equal">
      <formula>"DOM"</formula>
    </cfRule>
  </conditionalFormatting>
  <conditionalFormatting sqref="U7">
    <cfRule type="containsText" dxfId="386" priority="3643" stopIfTrue="1" operator="containsText" text="SÁB">
      <formula>NOT(ISERROR(SEARCH("SÁB",U7)))</formula>
    </cfRule>
  </conditionalFormatting>
  <conditionalFormatting sqref="U19">
    <cfRule type="containsText" dxfId="385" priority="3295" stopIfTrue="1" operator="containsText" text="SÁB">
      <formula>NOT(ISERROR(SEARCH("SÁB",U19)))</formula>
    </cfRule>
  </conditionalFormatting>
  <conditionalFormatting sqref="U23">
    <cfRule type="containsText" dxfId="384" priority="3194" stopIfTrue="1" operator="containsText" text="SÁB">
      <formula>NOT(ISERROR(SEARCH("SÁB",U23)))</formula>
    </cfRule>
  </conditionalFormatting>
  <conditionalFormatting sqref="U27">
    <cfRule type="containsText" dxfId="383" priority="3098" stopIfTrue="1" operator="containsText" text="SÁB">
      <formula>NOT(ISERROR(SEARCH("SÁB",U27)))</formula>
    </cfRule>
  </conditionalFormatting>
  <conditionalFormatting sqref="U31">
    <cfRule type="containsText" dxfId="382" priority="3001" stopIfTrue="1" operator="containsText" text="SÁB">
      <formula>NOT(ISERROR(SEARCH("SÁB",U31)))</formula>
    </cfRule>
  </conditionalFormatting>
  <conditionalFormatting sqref="U66">
    <cfRule type="containsText" dxfId="381" priority="2393" stopIfTrue="1" operator="containsText" text="SÁB">
      <formula>NOT(ISERROR(SEARCH("SÁB",U66)))</formula>
    </cfRule>
  </conditionalFormatting>
  <conditionalFormatting sqref="U78">
    <cfRule type="containsText" dxfId="380" priority="2099" stopIfTrue="1" operator="containsText" text="SÁB">
      <formula>NOT(ISERROR(SEARCH("SÁB",U78)))</formula>
    </cfRule>
  </conditionalFormatting>
  <conditionalFormatting sqref="U82">
    <cfRule type="containsText" dxfId="379" priority="1239" stopIfTrue="1" operator="containsText" text="SÁB">
      <formula>NOT(ISERROR(SEARCH("SÁB",U82)))</formula>
    </cfRule>
    <cfRule type="containsText" dxfId="378" priority="1359" stopIfTrue="1" operator="containsText" text="SÁB">
      <formula>NOT(ISERROR(SEARCH("SÁB",U82)))</formula>
    </cfRule>
  </conditionalFormatting>
  <conditionalFormatting sqref="U86">
    <cfRule type="containsText" dxfId="377" priority="1161" stopIfTrue="1" operator="containsText" text="SÁB">
      <formula>NOT(ISERROR(SEARCH("SÁB",U86)))</formula>
    </cfRule>
  </conditionalFormatting>
  <conditionalFormatting sqref="U90">
    <cfRule type="containsText" dxfId="376" priority="1028" stopIfTrue="1" operator="containsText" text="SÁB">
      <formula>NOT(ISERROR(SEARCH("SÁB",U90)))</formula>
    </cfRule>
  </conditionalFormatting>
  <conditionalFormatting sqref="U94">
    <cfRule type="containsText" dxfId="375" priority="910" stopIfTrue="1" operator="containsText" text="SÁB">
      <formula>NOT(ISERROR(SEARCH("SÁB",U94)))</formula>
    </cfRule>
    <cfRule type="containsText" dxfId="374" priority="795" stopIfTrue="1" operator="containsText" text="SÁB">
      <formula>NOT(ISERROR(SEARCH("SÁB",U94)))</formula>
    </cfRule>
  </conditionalFormatting>
  <conditionalFormatting sqref="U98">
    <cfRule type="containsText" dxfId="373" priority="698" stopIfTrue="1" operator="containsText" text="SÁB">
      <formula>NOT(ISERROR(SEARCH("SÁB",U98)))</formula>
    </cfRule>
    <cfRule type="containsText" dxfId="372" priority="583" stopIfTrue="1" operator="containsText" text="SÁB">
      <formula>NOT(ISERROR(SEARCH("SÁB",U98)))</formula>
    </cfRule>
  </conditionalFormatting>
  <conditionalFormatting sqref="U106">
    <cfRule type="containsText" dxfId="371" priority="178" stopIfTrue="1" operator="containsText" text="SÁB">
      <formula>NOT(ISERROR(SEARCH("SÁB",U106)))</formula>
    </cfRule>
    <cfRule type="containsText" dxfId="370" priority="63" stopIfTrue="1" operator="containsText" text="SÁB">
      <formula>NOT(ISERROR(SEARCH("SÁB",U106)))</formula>
    </cfRule>
  </conditionalFormatting>
  <conditionalFormatting sqref="U11:V11">
    <cfRule type="cellIs" dxfId="369" priority="3523" stopIfTrue="1" operator="equal">
      <formula>"DOM"</formula>
    </cfRule>
    <cfRule type="containsText" dxfId="368" priority="3524" stopIfTrue="1" operator="containsText" text="SÁB">
      <formula>NOT(ISERROR(SEARCH("SÁB",U11)))</formula>
    </cfRule>
  </conditionalFormatting>
  <conditionalFormatting sqref="U19:V19">
    <cfRule type="cellIs" dxfId="367" priority="3290" stopIfTrue="1" operator="equal">
      <formula>"DOM"</formula>
    </cfRule>
    <cfRule type="containsText" dxfId="366" priority="3291" stopIfTrue="1" operator="containsText" text="SÁB">
      <formula>NOT(ISERROR(SEARCH("SÁB",U19)))</formula>
    </cfRule>
  </conditionalFormatting>
  <conditionalFormatting sqref="U31:V31">
    <cfRule type="containsText" dxfId="365" priority="2997" stopIfTrue="1" operator="containsText" text="SÁB">
      <formula>NOT(ISERROR(SEARCH("SÁB",U31)))</formula>
    </cfRule>
    <cfRule type="cellIs" dxfId="364" priority="2996" stopIfTrue="1" operator="equal">
      <formula>"DOM"</formula>
    </cfRule>
  </conditionalFormatting>
  <conditionalFormatting sqref="U70:V70">
    <cfRule type="cellIs" dxfId="363" priority="2269" stopIfTrue="1" operator="equal">
      <formula>"DOM"</formula>
    </cfRule>
    <cfRule type="containsText" dxfId="362" priority="2270" stopIfTrue="1" operator="containsText" text="SÁB">
      <formula>NOT(ISERROR(SEARCH("SÁB",U70)))</formula>
    </cfRule>
  </conditionalFormatting>
  <conditionalFormatting sqref="U98:V98">
    <cfRule type="cellIs" dxfId="361" priority="364" stopIfTrue="1" operator="equal">
      <formula>"DOM"</formula>
    </cfRule>
    <cfRule type="containsText" dxfId="360" priority="365" stopIfTrue="1" operator="containsText" text="SÁB">
      <formula>NOT(ISERROR(SEARCH("SÁB",U98)))</formula>
    </cfRule>
  </conditionalFormatting>
  <conditionalFormatting sqref="U3:X3">
    <cfRule type="cellIs" dxfId="359" priority="3703" stopIfTrue="1" operator="equal">
      <formula>"DOM"</formula>
    </cfRule>
  </conditionalFormatting>
  <conditionalFormatting sqref="U23:X23">
    <cfRule type="cellIs" dxfId="358" priority="3172" stopIfTrue="1" operator="equal">
      <formula>"DOM"</formula>
    </cfRule>
  </conditionalFormatting>
  <conditionalFormatting sqref="U62:X62">
    <cfRule type="cellIs" dxfId="357" priority="1410" stopIfTrue="1" operator="equal">
      <formula>"DOM"</formula>
    </cfRule>
  </conditionalFormatting>
  <conditionalFormatting sqref="U90:X90">
    <cfRule type="cellIs" dxfId="356" priority="1006" stopIfTrue="1" operator="equal">
      <formula>"DOM"</formula>
    </cfRule>
  </conditionalFormatting>
  <conditionalFormatting sqref="V7">
    <cfRule type="containsText" dxfId="355" priority="3619" stopIfTrue="1" operator="containsText" text="SÁB">
      <formula>NOT(ISERROR(SEARCH("SÁB",V7)))</formula>
    </cfRule>
  </conditionalFormatting>
  <conditionalFormatting sqref="V11">
    <cfRule type="containsText" dxfId="354" priority="3522" stopIfTrue="1" operator="containsText" text="SÁB">
      <formula>NOT(ISERROR(SEARCH("SÁB",V11)))</formula>
    </cfRule>
  </conditionalFormatting>
  <conditionalFormatting sqref="V15">
    <cfRule type="containsText" dxfId="353" priority="3388" stopIfTrue="1" operator="containsText" text="SÁB">
      <formula>NOT(ISERROR(SEARCH("SÁB",V15)))</formula>
    </cfRule>
  </conditionalFormatting>
  <conditionalFormatting sqref="V27">
    <cfRule type="containsText" dxfId="352" priority="3112" stopIfTrue="1" operator="containsText" text="SÁB">
      <formula>NOT(ISERROR(SEARCH("SÁB",V27)))</formula>
    </cfRule>
  </conditionalFormatting>
  <conditionalFormatting sqref="V66">
    <cfRule type="containsText" dxfId="351" priority="2369" stopIfTrue="1" operator="containsText" text="SÁB">
      <formula>NOT(ISERROR(SEARCH("SÁB",V66)))</formula>
    </cfRule>
  </conditionalFormatting>
  <conditionalFormatting sqref="V70">
    <cfRule type="containsText" dxfId="350" priority="2268" stopIfTrue="1" operator="containsText" text="SÁB">
      <formula>NOT(ISERROR(SEARCH("SÁB",V70)))</formula>
    </cfRule>
  </conditionalFormatting>
  <conditionalFormatting sqref="V74">
    <cfRule type="containsText" dxfId="349" priority="2172" stopIfTrue="1" operator="containsText" text="SÁB">
      <formula>NOT(ISERROR(SEARCH("SÁB",V74)))</formula>
    </cfRule>
  </conditionalFormatting>
  <conditionalFormatting sqref="V78">
    <cfRule type="containsText" dxfId="348" priority="2075" stopIfTrue="1" operator="containsText" text="SÁB">
      <formula>NOT(ISERROR(SEARCH("SÁB",V78)))</formula>
    </cfRule>
  </conditionalFormatting>
  <conditionalFormatting sqref="V86">
    <cfRule type="containsText" dxfId="347" priority="1137" stopIfTrue="1" operator="containsText" text="SÁB">
      <formula>NOT(ISERROR(SEARCH("SÁB",V86)))</formula>
    </cfRule>
  </conditionalFormatting>
  <conditionalFormatting sqref="V98">
    <cfRule type="containsText" dxfId="346" priority="471" stopIfTrue="1" operator="containsText" text="SÁB">
      <formula>NOT(ISERROR(SEARCH("SÁB",V98)))</formula>
    </cfRule>
  </conditionalFormatting>
  <conditionalFormatting sqref="V102">
    <cfRule type="containsText" dxfId="345" priority="285" stopIfTrue="1" operator="containsText" text="SÁB">
      <formula>NOT(ISERROR(SEARCH("SÁB",V102)))</formula>
    </cfRule>
  </conditionalFormatting>
  <conditionalFormatting sqref="V7:W7">
    <cfRule type="containsText" dxfId="344" priority="3615" stopIfTrue="1" operator="containsText" text="SÁB">
      <formula>NOT(ISERROR(SEARCH("SÁB",V7)))</formula>
    </cfRule>
    <cfRule type="cellIs" dxfId="343" priority="3614" stopIfTrue="1" operator="equal">
      <formula>"DOM"</formula>
    </cfRule>
  </conditionalFormatting>
  <conditionalFormatting sqref="V19:W19">
    <cfRule type="containsText" dxfId="342" priority="3287" stopIfTrue="1" operator="containsText" text="SÁB">
      <formula>NOT(ISERROR(SEARCH("SÁB",V19)))</formula>
    </cfRule>
    <cfRule type="cellIs" dxfId="341" priority="3286" stopIfTrue="1" operator="equal">
      <formula>"DOM"</formula>
    </cfRule>
  </conditionalFormatting>
  <conditionalFormatting sqref="V31:W31">
    <cfRule type="cellIs" dxfId="340" priority="2992" stopIfTrue="1" operator="equal">
      <formula>"DOM"</formula>
    </cfRule>
    <cfRule type="containsText" dxfId="339" priority="2993" stopIfTrue="1" operator="containsText" text="SÁB">
      <formula>NOT(ISERROR(SEARCH("SÁB",V31)))</formula>
    </cfRule>
  </conditionalFormatting>
  <conditionalFormatting sqref="V66:W66">
    <cfRule type="containsText" dxfId="338" priority="2365" stopIfTrue="1" operator="containsText" text="SÁB">
      <formula>NOT(ISERROR(SEARCH("SÁB",V66)))</formula>
    </cfRule>
    <cfRule type="cellIs" dxfId="337" priority="2364" stopIfTrue="1" operator="equal">
      <formula>"DOM"</formula>
    </cfRule>
  </conditionalFormatting>
  <conditionalFormatting sqref="V78:W78">
    <cfRule type="containsText" dxfId="336" priority="2071" stopIfTrue="1" operator="containsText" text="SÁB">
      <formula>NOT(ISERROR(SEARCH("SÁB",V78)))</formula>
    </cfRule>
    <cfRule type="cellIs" dxfId="335" priority="2070" stopIfTrue="1" operator="equal">
      <formula>"DOM"</formula>
    </cfRule>
  </conditionalFormatting>
  <conditionalFormatting sqref="V82:W82">
    <cfRule type="cellIs" dxfId="334" priority="1228" stopIfTrue="1" operator="equal">
      <formula>"DOM"</formula>
    </cfRule>
    <cfRule type="containsText" dxfId="333" priority="1229" stopIfTrue="1" operator="containsText" text="SÁB">
      <formula>NOT(ISERROR(SEARCH("SÁB",V82)))</formula>
    </cfRule>
  </conditionalFormatting>
  <conditionalFormatting sqref="V86:W86">
    <cfRule type="containsText" dxfId="332" priority="1133" stopIfTrue="1" operator="containsText" text="SÁB">
      <formula>NOT(ISERROR(SEARCH("SÁB",V86)))</formula>
    </cfRule>
    <cfRule type="cellIs" dxfId="331" priority="1132" stopIfTrue="1" operator="equal">
      <formula>"DOM"</formula>
    </cfRule>
  </conditionalFormatting>
  <conditionalFormatting sqref="V94:W94">
    <cfRule type="containsText" dxfId="330" priority="785" stopIfTrue="1" operator="containsText" text="SÁB">
      <formula>NOT(ISERROR(SEARCH("SÁB",V94)))</formula>
    </cfRule>
    <cfRule type="cellIs" dxfId="329" priority="784" stopIfTrue="1" operator="equal">
      <formula>"DOM"</formula>
    </cfRule>
  </conditionalFormatting>
  <conditionalFormatting sqref="V98:W98">
    <cfRule type="containsText" dxfId="328" priority="573" stopIfTrue="1" operator="containsText" text="SÁB">
      <formula>NOT(ISERROR(SEARCH("SÁB",V98)))</formula>
    </cfRule>
    <cfRule type="cellIs" dxfId="327" priority="572" stopIfTrue="1" operator="equal">
      <formula>"DOM"</formula>
    </cfRule>
    <cfRule type="cellIs" dxfId="326" priority="360" stopIfTrue="1" operator="equal">
      <formula>"DOM"</formula>
    </cfRule>
    <cfRule type="containsText" dxfId="325" priority="361" stopIfTrue="1" operator="containsText" text="SÁB">
      <formula>NOT(ISERROR(SEARCH("SÁB",V98)))</formula>
    </cfRule>
  </conditionalFormatting>
  <conditionalFormatting sqref="V106:W106">
    <cfRule type="containsText" dxfId="324" priority="53" stopIfTrue="1" operator="containsText" text="SÁB">
      <formula>NOT(ISERROR(SEARCH("SÁB",V106)))</formula>
    </cfRule>
    <cfRule type="cellIs" dxfId="323" priority="52" stopIfTrue="1" operator="equal">
      <formula>"DOM"</formula>
    </cfRule>
  </conditionalFormatting>
  <conditionalFormatting sqref="V11:Y11">
    <cfRule type="cellIs" dxfId="322" priority="3500" stopIfTrue="1" operator="equal">
      <formula>"DOM"</formula>
    </cfRule>
  </conditionalFormatting>
  <conditionalFormatting sqref="V23:Y23">
    <cfRule type="cellIs" dxfId="321" priority="3166" stopIfTrue="1" operator="equal">
      <formula>"DOM"</formula>
    </cfRule>
  </conditionalFormatting>
  <conditionalFormatting sqref="V70:Y70">
    <cfRule type="cellIs" dxfId="320" priority="2246" stopIfTrue="1" operator="equal">
      <formula>"DOM"</formula>
    </cfRule>
  </conditionalFormatting>
  <conditionalFormatting sqref="V82:Y82">
    <cfRule type="cellIs" dxfId="319" priority="1331" stopIfTrue="1" operator="equal">
      <formula>"DOM"</formula>
    </cfRule>
  </conditionalFormatting>
  <conditionalFormatting sqref="V90:Y90">
    <cfRule type="cellIs" dxfId="318" priority="1000" stopIfTrue="1" operator="equal">
      <formula>"DOM"</formula>
    </cfRule>
  </conditionalFormatting>
  <conditionalFormatting sqref="V94:Y94">
    <cfRule type="cellIs" dxfId="317" priority="882" stopIfTrue="1" operator="equal">
      <formula>"DOM"</formula>
    </cfRule>
  </conditionalFormatting>
  <conditionalFormatting sqref="V98:Y98">
    <cfRule type="cellIs" dxfId="316" priority="670" stopIfTrue="1" operator="equal">
      <formula>"DOM"</formula>
    </cfRule>
  </conditionalFormatting>
  <conditionalFormatting sqref="V106:Y106">
    <cfRule type="cellIs" dxfId="315" priority="150" stopIfTrue="1" operator="equal">
      <formula>"DOM"</formula>
    </cfRule>
  </conditionalFormatting>
  <conditionalFormatting sqref="W3">
    <cfRule type="containsText" dxfId="314" priority="3708" stopIfTrue="1" operator="containsText" text="SÁB">
      <formula>NOT(ISERROR(SEARCH("SÁB",W3)))</formula>
    </cfRule>
  </conditionalFormatting>
  <conditionalFormatting sqref="W19">
    <cfRule type="containsText" dxfId="313" priority="3285" stopIfTrue="1" operator="containsText" text="SÁB">
      <formula>NOT(ISERROR(SEARCH("SÁB",W19)))</formula>
    </cfRule>
  </conditionalFormatting>
  <conditionalFormatting sqref="W27">
    <cfRule type="containsText" dxfId="312" priority="3088" stopIfTrue="1" operator="containsText" text="SÁB">
      <formula>NOT(ISERROR(SEARCH("SÁB",W27)))</formula>
    </cfRule>
  </conditionalFormatting>
  <conditionalFormatting sqref="W31">
    <cfRule type="containsText" dxfId="311" priority="2991" stopIfTrue="1" operator="containsText" text="SÁB">
      <formula>NOT(ISERROR(SEARCH("SÁB",W31)))</formula>
    </cfRule>
  </conditionalFormatting>
  <conditionalFormatting sqref="W62">
    <cfRule type="containsText" dxfId="310" priority="1415" stopIfTrue="1" operator="containsText" text="SÁB">
      <formula>NOT(ISERROR(SEARCH("SÁB",W62)))</formula>
    </cfRule>
  </conditionalFormatting>
  <conditionalFormatting sqref="W74">
    <cfRule type="containsText" dxfId="309" priority="2186" stopIfTrue="1" operator="containsText" text="SÁB">
      <formula>NOT(ISERROR(SEARCH("SÁB",W74)))</formula>
    </cfRule>
  </conditionalFormatting>
  <conditionalFormatting sqref="W98">
    <cfRule type="containsText" dxfId="308" priority="359" stopIfTrue="1" operator="containsText" text="SÁB">
      <formula>NOT(ISERROR(SEARCH("SÁB",W98)))</formula>
    </cfRule>
  </conditionalFormatting>
  <conditionalFormatting sqref="W102">
    <cfRule type="containsText" dxfId="307" priority="299" stopIfTrue="1" operator="containsText" text="SÁB">
      <formula>NOT(ISERROR(SEARCH("SÁB",W102)))</formula>
    </cfRule>
  </conditionalFormatting>
  <conditionalFormatting sqref="W7:X7">
    <cfRule type="containsText" dxfId="306" priority="3611" stopIfTrue="1" operator="containsText" text="SÁB">
      <formula>NOT(ISERROR(SEARCH("SÁB",W7)))</formula>
    </cfRule>
    <cfRule type="cellIs" dxfId="305" priority="3610" stopIfTrue="1" operator="equal">
      <formula>"DOM"</formula>
    </cfRule>
  </conditionalFormatting>
  <conditionalFormatting sqref="W15:X15">
    <cfRule type="cellIs" dxfId="304" priority="3377" stopIfTrue="1" operator="equal">
      <formula>"DOM"</formula>
    </cfRule>
    <cfRule type="containsText" dxfId="303" priority="3378" stopIfTrue="1" operator="containsText" text="SÁB">
      <formula>NOT(ISERROR(SEARCH("SÁB",W15)))</formula>
    </cfRule>
  </conditionalFormatting>
  <conditionalFormatting sqref="W27:X27">
    <cfRule type="cellIs" dxfId="302" priority="3083" stopIfTrue="1" operator="equal">
      <formula>"DOM"</formula>
    </cfRule>
    <cfRule type="containsText" dxfId="301" priority="3084" stopIfTrue="1" operator="containsText" text="SÁB">
      <formula>NOT(ISERROR(SEARCH("SÁB",W27)))</formula>
    </cfRule>
  </conditionalFormatting>
  <conditionalFormatting sqref="W66:X66">
    <cfRule type="cellIs" dxfId="300" priority="2360" stopIfTrue="1" operator="equal">
      <formula>"DOM"</formula>
    </cfRule>
    <cfRule type="containsText" dxfId="299" priority="2361" stopIfTrue="1" operator="containsText" text="SÁB">
      <formula>NOT(ISERROR(SEARCH("SÁB",W66)))</formula>
    </cfRule>
  </conditionalFormatting>
  <conditionalFormatting sqref="W78:X78">
    <cfRule type="cellIs" dxfId="298" priority="2066" stopIfTrue="1" operator="equal">
      <formula>"DOM"</formula>
    </cfRule>
    <cfRule type="containsText" dxfId="297" priority="2067" stopIfTrue="1" operator="containsText" text="SÁB">
      <formula>NOT(ISERROR(SEARCH("SÁB",W78)))</formula>
    </cfRule>
  </conditionalFormatting>
  <conditionalFormatting sqref="W82:X82">
    <cfRule type="cellIs" dxfId="296" priority="1224" stopIfTrue="1" operator="equal">
      <formula>"DOM"</formula>
    </cfRule>
    <cfRule type="containsText" dxfId="295" priority="1225" stopIfTrue="1" operator="containsText" text="SÁB">
      <formula>NOT(ISERROR(SEARCH("SÁB",W82)))</formula>
    </cfRule>
  </conditionalFormatting>
  <conditionalFormatting sqref="W86:X86">
    <cfRule type="cellIs" dxfId="294" priority="1128" stopIfTrue="1" operator="equal">
      <formula>"DOM"</formula>
    </cfRule>
    <cfRule type="containsText" dxfId="293" priority="1129" stopIfTrue="1" operator="containsText" text="SÁB">
      <formula>NOT(ISERROR(SEARCH("SÁB",W86)))</formula>
    </cfRule>
  </conditionalFormatting>
  <conditionalFormatting sqref="W94:X94">
    <cfRule type="containsText" dxfId="292" priority="781" stopIfTrue="1" operator="containsText" text="SÁB">
      <formula>NOT(ISERROR(SEARCH("SÁB",W94)))</formula>
    </cfRule>
    <cfRule type="cellIs" dxfId="291" priority="780" stopIfTrue="1" operator="equal">
      <formula>"DOM"</formula>
    </cfRule>
  </conditionalFormatting>
  <conditionalFormatting sqref="W98:X98">
    <cfRule type="containsText" dxfId="290" priority="461" stopIfTrue="1" operator="containsText" text="SÁB">
      <formula>NOT(ISERROR(SEARCH("SÁB",W98)))</formula>
    </cfRule>
    <cfRule type="cellIs" dxfId="289" priority="568" stopIfTrue="1" operator="equal">
      <formula>"DOM"</formula>
    </cfRule>
    <cfRule type="containsText" dxfId="288" priority="569" stopIfTrue="1" operator="containsText" text="SÁB">
      <formula>NOT(ISERROR(SEARCH("SÁB",W98)))</formula>
    </cfRule>
    <cfRule type="cellIs" dxfId="287" priority="460" stopIfTrue="1" operator="equal">
      <formula>"DOM"</formula>
    </cfRule>
  </conditionalFormatting>
  <conditionalFormatting sqref="W106:X106">
    <cfRule type="cellIs" dxfId="286" priority="48" stopIfTrue="1" operator="equal">
      <formula>"DOM"</formula>
    </cfRule>
    <cfRule type="containsText" dxfId="285" priority="49" stopIfTrue="1" operator="containsText" text="SÁB">
      <formula>NOT(ISERROR(SEARCH("SÁB",W106)))</formula>
    </cfRule>
  </conditionalFormatting>
  <conditionalFormatting sqref="W11:Z11">
    <cfRule type="cellIs" dxfId="284" priority="3494" stopIfTrue="1" operator="equal">
      <formula>"DOM"</formula>
    </cfRule>
  </conditionalFormatting>
  <conditionalFormatting sqref="W19:Z19">
    <cfRule type="cellIs" dxfId="283" priority="3263" stopIfTrue="1" operator="equal">
      <formula>"DOM"</formula>
    </cfRule>
  </conditionalFormatting>
  <conditionalFormatting sqref="W31:Z31">
    <cfRule type="cellIs" dxfId="282" priority="2969" stopIfTrue="1" operator="equal">
      <formula>"DOM"</formula>
    </cfRule>
  </conditionalFormatting>
  <conditionalFormatting sqref="W70:Z70">
    <cfRule type="cellIs" dxfId="281" priority="2240" stopIfTrue="1" operator="equal">
      <formula>"DOM"</formula>
    </cfRule>
  </conditionalFormatting>
  <conditionalFormatting sqref="W98:AC98">
    <cfRule type="cellIs" dxfId="280" priority="341" stopIfTrue="1" operator="equal">
      <formula>"DOM"</formula>
    </cfRule>
  </conditionalFormatting>
  <conditionalFormatting sqref="X7">
    <cfRule type="containsText" dxfId="279" priority="3609" stopIfTrue="1" operator="containsText" text="SÁB">
      <formula>NOT(ISERROR(SEARCH("SÁB",X7)))</formula>
    </cfRule>
  </conditionalFormatting>
  <conditionalFormatting sqref="X23">
    <cfRule type="containsText" dxfId="278" priority="3171" stopIfTrue="1" operator="containsText" text="SÁB">
      <formula>NOT(ISERROR(SEARCH("SÁB",X23)))</formula>
    </cfRule>
  </conditionalFormatting>
  <conditionalFormatting sqref="X62">
    <cfRule type="cellIs" dxfId="277" priority="1406" stopIfTrue="1" operator="equal">
      <formula>"DOM"</formula>
    </cfRule>
    <cfRule type="containsText" dxfId="276" priority="1409" stopIfTrue="1" operator="containsText" text="SÁB">
      <formula>NOT(ISERROR(SEARCH("SÁB",X62)))</formula>
    </cfRule>
  </conditionalFormatting>
  <conditionalFormatting sqref="X66">
    <cfRule type="containsText" dxfId="275" priority="2359" stopIfTrue="1" operator="containsText" text="SÁB">
      <formula>NOT(ISERROR(SEARCH("SÁB",X66)))</formula>
    </cfRule>
  </conditionalFormatting>
  <conditionalFormatting sqref="X74">
    <cfRule type="containsText" dxfId="274" priority="2162" stopIfTrue="1" operator="containsText" text="SÁB">
      <formula>NOT(ISERROR(SEARCH("SÁB",X74)))</formula>
    </cfRule>
  </conditionalFormatting>
  <conditionalFormatting sqref="X78">
    <cfRule type="containsText" dxfId="273" priority="2065" stopIfTrue="1" operator="containsText" text="SÁB">
      <formula>NOT(ISERROR(SEARCH("SÁB",X78)))</formula>
    </cfRule>
  </conditionalFormatting>
  <conditionalFormatting sqref="X82">
    <cfRule type="containsText" dxfId="272" priority="1336" stopIfTrue="1" operator="containsText" text="SÁB">
      <formula>NOT(ISERROR(SEARCH("SÁB",X82)))</formula>
    </cfRule>
  </conditionalFormatting>
  <conditionalFormatting sqref="X86">
    <cfRule type="containsText" dxfId="271" priority="1127" stopIfTrue="1" operator="containsText" text="SÁB">
      <formula>NOT(ISERROR(SEARCH("SÁB",X86)))</formula>
    </cfRule>
  </conditionalFormatting>
  <conditionalFormatting sqref="X90">
    <cfRule type="containsText" dxfId="270" priority="1005" stopIfTrue="1" operator="containsText" text="SÁB">
      <formula>NOT(ISERROR(SEARCH("SÁB",X90)))</formula>
    </cfRule>
  </conditionalFormatting>
  <conditionalFormatting sqref="X94">
    <cfRule type="containsText" dxfId="269" priority="887" stopIfTrue="1" operator="containsText" text="SÁB">
      <formula>NOT(ISERROR(SEARCH("SÁB",X94)))</formula>
    </cfRule>
  </conditionalFormatting>
  <conditionalFormatting sqref="X98">
    <cfRule type="containsText" dxfId="268" priority="675" stopIfTrue="1" operator="containsText" text="SÁB">
      <formula>NOT(ISERROR(SEARCH("SÁB",X98)))</formula>
    </cfRule>
  </conditionalFormatting>
  <conditionalFormatting sqref="X102">
    <cfRule type="containsText" dxfId="267" priority="275" stopIfTrue="1" operator="containsText" text="SÁB">
      <formula>NOT(ISERROR(SEARCH("SÁB",X102)))</formula>
    </cfRule>
  </conditionalFormatting>
  <conditionalFormatting sqref="X106">
    <cfRule type="containsText" dxfId="266" priority="155" stopIfTrue="1" operator="containsText" text="SÁB">
      <formula>NOT(ISERROR(SEARCH("SÁB",X106)))</formula>
    </cfRule>
  </conditionalFormatting>
  <conditionalFormatting sqref="X3:Y3">
    <cfRule type="cellIs" dxfId="265" priority="3697" stopIfTrue="1" operator="equal">
      <formula>"DOM"</formula>
    </cfRule>
    <cfRule type="containsText" dxfId="264" priority="3698" stopIfTrue="1" operator="containsText" text="SÁB">
      <formula>NOT(ISERROR(SEARCH("SÁB",X3)))</formula>
    </cfRule>
  </conditionalFormatting>
  <conditionalFormatting sqref="X15:Y15">
    <cfRule type="containsText" dxfId="263" priority="3374" stopIfTrue="1" operator="containsText" text="SÁB">
      <formula>NOT(ISERROR(SEARCH("SÁB",X15)))</formula>
    </cfRule>
    <cfRule type="cellIs" dxfId="262" priority="3373" stopIfTrue="1" operator="equal">
      <formula>"DOM"</formula>
    </cfRule>
  </conditionalFormatting>
  <conditionalFormatting sqref="X27:Y27">
    <cfRule type="containsText" dxfId="261" priority="3080" stopIfTrue="1" operator="containsText" text="SÁB">
      <formula>NOT(ISERROR(SEARCH("SÁB",X27)))</formula>
    </cfRule>
    <cfRule type="cellIs" dxfId="260" priority="3079" stopIfTrue="1" operator="equal">
      <formula>"DOM"</formula>
    </cfRule>
  </conditionalFormatting>
  <conditionalFormatting sqref="X74:Y74">
    <cfRule type="cellIs" dxfId="259" priority="2157" stopIfTrue="1" operator="equal">
      <formula>"DOM"</formula>
    </cfRule>
    <cfRule type="containsText" dxfId="258" priority="2158" stopIfTrue="1" operator="containsText" text="SÁB">
      <formula>NOT(ISERROR(SEARCH("SÁB",X74)))</formula>
    </cfRule>
  </conditionalFormatting>
  <conditionalFormatting sqref="X82:Y82">
    <cfRule type="cellIs" dxfId="257" priority="1220" stopIfTrue="1" operator="equal">
      <formula>"DOM"</formula>
    </cfRule>
    <cfRule type="containsText" dxfId="256" priority="1221" stopIfTrue="1" operator="containsText" text="SÁB">
      <formula>NOT(ISERROR(SEARCH("SÁB",X82)))</formula>
    </cfRule>
  </conditionalFormatting>
  <conditionalFormatting sqref="X94:Y94">
    <cfRule type="cellIs" dxfId="255" priority="776" stopIfTrue="1" operator="equal">
      <formula>"DOM"</formula>
    </cfRule>
    <cfRule type="containsText" dxfId="254" priority="777" stopIfTrue="1" operator="containsText" text="SÁB">
      <formula>NOT(ISERROR(SEARCH("SÁB",X94)))</formula>
    </cfRule>
  </conditionalFormatting>
  <conditionalFormatting sqref="X98:Y98">
    <cfRule type="cellIs" dxfId="253" priority="456" stopIfTrue="1" operator="equal">
      <formula>"DOM"</formula>
    </cfRule>
    <cfRule type="cellIs" dxfId="252" priority="564" stopIfTrue="1" operator="equal">
      <formula>"DOM"</formula>
    </cfRule>
    <cfRule type="containsText" dxfId="251" priority="565" stopIfTrue="1" operator="containsText" text="SÁB">
      <formula>NOT(ISERROR(SEARCH("SÁB",X98)))</formula>
    </cfRule>
    <cfRule type="containsText" dxfId="250" priority="457" stopIfTrue="1" operator="containsText" text="SÁB">
      <formula>NOT(ISERROR(SEARCH("SÁB",X98)))</formula>
    </cfRule>
  </conditionalFormatting>
  <conditionalFormatting sqref="X102:Y102">
    <cfRule type="cellIs" dxfId="249" priority="270" stopIfTrue="1" operator="equal">
      <formula>"DOM"</formula>
    </cfRule>
    <cfRule type="containsText" dxfId="248" priority="271" stopIfTrue="1" operator="containsText" text="SÁB">
      <formula>NOT(ISERROR(SEARCH("SÁB",X102)))</formula>
    </cfRule>
  </conditionalFormatting>
  <conditionalFormatting sqref="X106:Y106">
    <cfRule type="containsText" dxfId="247" priority="45" stopIfTrue="1" operator="containsText" text="SÁB">
      <formula>NOT(ISERROR(SEARCH("SÁB",X106)))</formula>
    </cfRule>
    <cfRule type="cellIs" dxfId="246" priority="44" stopIfTrue="1" operator="equal">
      <formula>"DOM"</formula>
    </cfRule>
  </conditionalFormatting>
  <conditionalFormatting sqref="X7:AA7">
    <cfRule type="cellIs" dxfId="245" priority="3587" stopIfTrue="1" operator="equal">
      <formula>"DOM"</formula>
    </cfRule>
  </conditionalFormatting>
  <conditionalFormatting sqref="X19:AA19">
    <cfRule type="cellIs" dxfId="244" priority="3257" stopIfTrue="1" operator="equal">
      <formula>"DOM"</formula>
    </cfRule>
  </conditionalFormatting>
  <conditionalFormatting sqref="X31:AA31">
    <cfRule type="cellIs" dxfId="243" priority="2963" stopIfTrue="1" operator="equal">
      <formula>"DOM"</formula>
    </cfRule>
  </conditionalFormatting>
  <conditionalFormatting sqref="X66:AA66">
    <cfRule type="cellIs" dxfId="242" priority="2337" stopIfTrue="1" operator="equal">
      <formula>"DOM"</formula>
    </cfRule>
  </conditionalFormatting>
  <conditionalFormatting sqref="X78:AA78">
    <cfRule type="cellIs" dxfId="241" priority="2043" stopIfTrue="1" operator="equal">
      <formula>"DOM"</formula>
    </cfRule>
  </conditionalFormatting>
  <conditionalFormatting sqref="X86:AA86">
    <cfRule type="cellIs" dxfId="240" priority="1105" stopIfTrue="1" operator="equal">
      <formula>"DOM"</formula>
    </cfRule>
  </conditionalFormatting>
  <conditionalFormatting sqref="Y11">
    <cfRule type="containsText" dxfId="239" priority="3499" stopIfTrue="1" operator="containsText" text="SÁB">
      <formula>NOT(ISERROR(SEARCH("SÁB",Y11)))</formula>
    </cfRule>
  </conditionalFormatting>
  <conditionalFormatting sqref="Y27">
    <cfRule type="containsText" dxfId="238" priority="3078" stopIfTrue="1" operator="containsText" text="SÁB">
      <formula>NOT(ISERROR(SEARCH("SÁB",Y27)))</formula>
    </cfRule>
  </conditionalFormatting>
  <conditionalFormatting sqref="Y62">
    <cfRule type="cellIs" dxfId="237" priority="2451" stopIfTrue="1" operator="equal">
      <formula>"DOM"</formula>
    </cfRule>
    <cfRule type="containsText" dxfId="236" priority="2452" stopIfTrue="1" operator="containsText" text="SÁB">
      <formula>NOT(ISERROR(SEARCH("SÁB",Y62)))</formula>
    </cfRule>
  </conditionalFormatting>
  <conditionalFormatting sqref="Y70">
    <cfRule type="containsText" dxfId="235" priority="2245" stopIfTrue="1" operator="containsText" text="SÁB">
      <formula>NOT(ISERROR(SEARCH("SÁB",Y70)))</formula>
    </cfRule>
  </conditionalFormatting>
  <conditionalFormatting sqref="Y82">
    <cfRule type="containsText" dxfId="234" priority="1219" stopIfTrue="1" operator="containsText" text="SÁB">
      <formula>NOT(ISERROR(SEARCH("SÁB",Y82)))</formula>
    </cfRule>
  </conditionalFormatting>
  <conditionalFormatting sqref="Y94">
    <cfRule type="containsText" dxfId="233" priority="775" stopIfTrue="1" operator="containsText" text="SÁB">
      <formula>NOT(ISERROR(SEARCH("SÁB",Y94)))</formula>
    </cfRule>
  </conditionalFormatting>
  <conditionalFormatting sqref="Y98">
    <cfRule type="containsText" dxfId="232" priority="563" stopIfTrue="1" operator="containsText" text="SÁB">
      <formula>NOT(ISERROR(SEARCH("SÁB",Y98)))</formula>
    </cfRule>
  </conditionalFormatting>
  <conditionalFormatting sqref="Y106">
    <cfRule type="containsText" dxfId="231" priority="43" stopIfTrue="1" operator="containsText" text="SÁB">
      <formula>NOT(ISERROR(SEARCH("SÁB",Y106)))</formula>
    </cfRule>
  </conditionalFormatting>
  <conditionalFormatting sqref="Y3:Z3">
    <cfRule type="cellIs" dxfId="230" priority="3693" stopIfTrue="1" operator="equal">
      <formula>"DOM"</formula>
    </cfRule>
    <cfRule type="containsText" dxfId="229" priority="3694" stopIfTrue="1" operator="containsText" text="SÁB">
      <formula>NOT(ISERROR(SEARCH("SÁB",Y3)))</formula>
    </cfRule>
  </conditionalFormatting>
  <conditionalFormatting sqref="Y15:Z15">
    <cfRule type="containsText" dxfId="228" priority="3370" stopIfTrue="1" operator="containsText" text="SÁB">
      <formula>NOT(ISERROR(SEARCH("SÁB",Y15)))</formula>
    </cfRule>
    <cfRule type="cellIs" dxfId="227" priority="3369" stopIfTrue="1" operator="equal">
      <formula>"DOM"</formula>
    </cfRule>
  </conditionalFormatting>
  <conditionalFormatting sqref="Y23:Z23">
    <cfRule type="cellIs" dxfId="226" priority="3160" stopIfTrue="1" operator="equal">
      <formula>"DOM"</formula>
    </cfRule>
    <cfRule type="containsText" dxfId="225" priority="3161" stopIfTrue="1" operator="containsText" text="SÁB">
      <formula>NOT(ISERROR(SEARCH("SÁB",Y23)))</formula>
    </cfRule>
  </conditionalFormatting>
  <conditionalFormatting sqref="Y62:Z62">
    <cfRule type="cellIs" dxfId="224" priority="2447" stopIfTrue="1" operator="equal">
      <formula>"DOM"</formula>
    </cfRule>
    <cfRule type="containsText" dxfId="223" priority="2448" stopIfTrue="1" operator="containsText" text="SÁB">
      <formula>NOT(ISERROR(SEARCH("SÁB",Y62)))</formula>
    </cfRule>
  </conditionalFormatting>
  <conditionalFormatting sqref="Y74:Z74">
    <cfRule type="containsText" dxfId="222" priority="2154" stopIfTrue="1" operator="containsText" text="SÁB">
      <formula>NOT(ISERROR(SEARCH("SÁB",Y74)))</formula>
    </cfRule>
    <cfRule type="cellIs" dxfId="221" priority="2153" stopIfTrue="1" operator="equal">
      <formula>"DOM"</formula>
    </cfRule>
  </conditionalFormatting>
  <conditionalFormatting sqref="Y82:Z82">
    <cfRule type="containsText" dxfId="220" priority="1326" stopIfTrue="1" operator="containsText" text="SÁB">
      <formula>NOT(ISERROR(SEARCH("SÁB",Y82)))</formula>
    </cfRule>
    <cfRule type="cellIs" dxfId="219" priority="1325" stopIfTrue="1" operator="equal">
      <formula>"DOM"</formula>
    </cfRule>
  </conditionalFormatting>
  <conditionalFormatting sqref="Y90:Z90">
    <cfRule type="cellIs" dxfId="218" priority="994" stopIfTrue="1" operator="equal">
      <formula>"DOM"</formula>
    </cfRule>
    <cfRule type="containsText" dxfId="217" priority="995" stopIfTrue="1" operator="containsText" text="SÁB">
      <formula>NOT(ISERROR(SEARCH("SÁB",Y90)))</formula>
    </cfRule>
  </conditionalFormatting>
  <conditionalFormatting sqref="Y94:Z94">
    <cfRule type="cellIs" dxfId="216" priority="876" stopIfTrue="1" operator="equal">
      <formula>"DOM"</formula>
    </cfRule>
    <cfRule type="containsText" dxfId="215" priority="877" stopIfTrue="1" operator="containsText" text="SÁB">
      <formula>NOT(ISERROR(SEARCH("SÁB",Y94)))</formula>
    </cfRule>
  </conditionalFormatting>
  <conditionalFormatting sqref="Y98:Z98">
    <cfRule type="cellIs" dxfId="214" priority="452" stopIfTrue="1" operator="equal">
      <formula>"DOM"</formula>
    </cfRule>
    <cfRule type="containsText" dxfId="213" priority="453" stopIfTrue="1" operator="containsText" text="SÁB">
      <formula>NOT(ISERROR(SEARCH("SÁB",Y98)))</formula>
    </cfRule>
    <cfRule type="containsText" dxfId="212" priority="665" stopIfTrue="1" operator="containsText" text="SÁB">
      <formula>NOT(ISERROR(SEARCH("SÁB",Y98)))</formula>
    </cfRule>
    <cfRule type="cellIs" dxfId="211" priority="664" stopIfTrue="1" operator="equal">
      <formula>"DOM"</formula>
    </cfRule>
  </conditionalFormatting>
  <conditionalFormatting sqref="Y102:Z102">
    <cfRule type="cellIs" dxfId="210" priority="266" stopIfTrue="1" operator="equal">
      <formula>"DOM"</formula>
    </cfRule>
    <cfRule type="containsText" dxfId="209" priority="267" stopIfTrue="1" operator="containsText" text="SÁB">
      <formula>NOT(ISERROR(SEARCH("SÁB",Y102)))</formula>
    </cfRule>
  </conditionalFormatting>
  <conditionalFormatting sqref="Y106:Z106">
    <cfRule type="cellIs" dxfId="208" priority="144" stopIfTrue="1" operator="equal">
      <formula>"DOM"</formula>
    </cfRule>
    <cfRule type="containsText" dxfId="207" priority="145" stopIfTrue="1" operator="containsText" text="SÁB">
      <formula>NOT(ISERROR(SEARCH("SÁB",Y106)))</formula>
    </cfRule>
  </conditionalFormatting>
  <conditionalFormatting sqref="Y98:AA98">
    <cfRule type="cellIs" dxfId="206" priority="336" stopIfTrue="1" operator="equal">
      <formula>"DOM"</formula>
    </cfRule>
  </conditionalFormatting>
  <conditionalFormatting sqref="Y7:AB7">
    <cfRule type="cellIs" dxfId="205" priority="3581" stopIfTrue="1" operator="equal">
      <formula>"DOM"</formula>
    </cfRule>
  </conditionalFormatting>
  <conditionalFormatting sqref="Y27:AB27">
    <cfRule type="cellIs" dxfId="204" priority="3056" stopIfTrue="1" operator="equal">
      <formula>"DOM"</formula>
    </cfRule>
  </conditionalFormatting>
  <conditionalFormatting sqref="Y66:AB66">
    <cfRule type="cellIs" dxfId="203" priority="2331" stopIfTrue="1" operator="equal">
      <formula>"DOM"</formula>
    </cfRule>
  </conditionalFormatting>
  <conditionalFormatting sqref="Y78:AB78">
    <cfRule type="cellIs" dxfId="202" priority="2037" stopIfTrue="1" operator="equal">
      <formula>"DOM"</formula>
    </cfRule>
  </conditionalFormatting>
  <conditionalFormatting sqref="Y86:AB86">
    <cfRule type="cellIs" dxfId="201" priority="1099" stopIfTrue="1" operator="equal">
      <formula>"DOM"</formula>
    </cfRule>
  </conditionalFormatting>
  <conditionalFormatting sqref="Y82:AC82">
    <cfRule type="cellIs" dxfId="200" priority="1195" stopIfTrue="1" operator="equal">
      <formula>"DOM"</formula>
    </cfRule>
  </conditionalFormatting>
  <conditionalFormatting sqref="Y94:AC94">
    <cfRule type="cellIs" dxfId="199" priority="756" stopIfTrue="1" operator="equal">
      <formula>"DOM"</formula>
    </cfRule>
  </conditionalFormatting>
  <conditionalFormatting sqref="Y98:AC98">
    <cfRule type="cellIs" dxfId="198" priority="544" stopIfTrue="1" operator="equal">
      <formula>"DOM"</formula>
    </cfRule>
  </conditionalFormatting>
  <conditionalFormatting sqref="Y106:AC106">
    <cfRule type="cellIs" dxfId="197" priority="24" stopIfTrue="1" operator="equal">
      <formula>"DOM"</formula>
    </cfRule>
  </conditionalFormatting>
  <conditionalFormatting sqref="Z15">
    <cfRule type="containsText" dxfId="196" priority="3368" stopIfTrue="1" operator="containsText" text="SÁB">
      <formula>NOT(ISERROR(SEARCH("SÁB",Z15)))</formula>
    </cfRule>
  </conditionalFormatting>
  <conditionalFormatting sqref="Z19">
    <cfRule type="containsText" dxfId="195" priority="3262" stopIfTrue="1" operator="containsText" text="SÁB">
      <formula>NOT(ISERROR(SEARCH("SÁB",Z19)))</formula>
    </cfRule>
  </conditionalFormatting>
  <conditionalFormatting sqref="Z31">
    <cfRule type="containsText" dxfId="194" priority="2968" stopIfTrue="1" operator="containsText" text="SÁB">
      <formula>NOT(ISERROR(SEARCH("SÁB",Z31)))</formula>
    </cfRule>
  </conditionalFormatting>
  <conditionalFormatting sqref="Z74">
    <cfRule type="containsText" dxfId="193" priority="2152" stopIfTrue="1" operator="containsText" text="SÁB">
      <formula>NOT(ISERROR(SEARCH("SÁB",Z74)))</formula>
    </cfRule>
  </conditionalFormatting>
  <conditionalFormatting sqref="Z98">
    <cfRule type="containsText" dxfId="192" priority="340" stopIfTrue="1" operator="containsText" text="SÁB">
      <formula>NOT(ISERROR(SEARCH("SÁB",Z98)))</formula>
    </cfRule>
    <cfRule type="containsText" dxfId="191" priority="451" stopIfTrue="1" operator="containsText" text="SÁB">
      <formula>NOT(ISERROR(SEARCH("SÁB",Z98)))</formula>
    </cfRule>
  </conditionalFormatting>
  <conditionalFormatting sqref="Z102">
    <cfRule type="containsText" dxfId="190" priority="265" stopIfTrue="1" operator="containsText" text="SÁB">
      <formula>NOT(ISERROR(SEARCH("SÁB",Z102)))</formula>
    </cfRule>
  </conditionalFormatting>
  <conditionalFormatting sqref="Z3:AA3">
    <cfRule type="cellIs" dxfId="189" priority="3689" stopIfTrue="1" operator="equal">
      <formula>"DOM"</formula>
    </cfRule>
    <cfRule type="containsText" dxfId="188" priority="3690" stopIfTrue="1" operator="containsText" text="SÁB">
      <formula>NOT(ISERROR(SEARCH("SÁB",Z3)))</formula>
    </cfRule>
  </conditionalFormatting>
  <conditionalFormatting sqref="Z11:AA11">
    <cfRule type="cellIs" dxfId="187" priority="3488" stopIfTrue="1" operator="equal">
      <formula>"DOM"</formula>
    </cfRule>
    <cfRule type="containsText" dxfId="186" priority="3489" stopIfTrue="1" operator="containsText" text="SÁB">
      <formula>NOT(ISERROR(SEARCH("SÁB",Z11)))</formula>
    </cfRule>
  </conditionalFormatting>
  <conditionalFormatting sqref="Z23:AA23">
    <cfRule type="cellIs" dxfId="185" priority="3156" stopIfTrue="1" operator="equal">
      <formula>"DOM"</formula>
    </cfRule>
    <cfRule type="containsText" dxfId="184" priority="3157" stopIfTrue="1" operator="containsText" text="SÁB">
      <formula>NOT(ISERROR(SEARCH("SÁB",Z23)))</formula>
    </cfRule>
  </conditionalFormatting>
  <conditionalFormatting sqref="Z62:AA62">
    <cfRule type="containsText" dxfId="183" priority="2444" stopIfTrue="1" operator="containsText" text="SÁB">
      <formula>NOT(ISERROR(SEARCH("SÁB",Z62)))</formula>
    </cfRule>
    <cfRule type="cellIs" dxfId="182" priority="2443" stopIfTrue="1" operator="equal">
      <formula>"DOM"</formula>
    </cfRule>
  </conditionalFormatting>
  <conditionalFormatting sqref="Z70:AA70">
    <cfRule type="cellIs" dxfId="181" priority="2234" stopIfTrue="1" operator="equal">
      <formula>"DOM"</formula>
    </cfRule>
    <cfRule type="containsText" dxfId="180" priority="2235" stopIfTrue="1" operator="containsText" text="SÁB">
      <formula>NOT(ISERROR(SEARCH("SÁB",Z70)))</formula>
    </cfRule>
  </conditionalFormatting>
  <conditionalFormatting sqref="Z82:AA82">
    <cfRule type="containsText" dxfId="179" priority="1322" stopIfTrue="1" operator="containsText" text="SÁB">
      <formula>NOT(ISERROR(SEARCH("SÁB",Z82)))</formula>
    </cfRule>
    <cfRule type="cellIs" dxfId="178" priority="1321" stopIfTrue="1" operator="equal">
      <formula>"DOM"</formula>
    </cfRule>
  </conditionalFormatting>
  <conditionalFormatting sqref="Z90:AA90">
    <cfRule type="containsText" dxfId="177" priority="991" stopIfTrue="1" operator="containsText" text="SÁB">
      <formula>NOT(ISERROR(SEARCH("SÁB",Z90)))</formula>
    </cfRule>
    <cfRule type="cellIs" dxfId="176" priority="990" stopIfTrue="1" operator="equal">
      <formula>"DOM"</formula>
    </cfRule>
  </conditionalFormatting>
  <conditionalFormatting sqref="Z94:AA94">
    <cfRule type="containsText" dxfId="175" priority="873" stopIfTrue="1" operator="containsText" text="SÁB">
      <formula>NOT(ISERROR(SEARCH("SÁB",Z94)))</formula>
    </cfRule>
    <cfRule type="cellIs" dxfId="174" priority="872" stopIfTrue="1" operator="equal">
      <formula>"DOM"</formula>
    </cfRule>
  </conditionalFormatting>
  <conditionalFormatting sqref="Z98:AA98">
    <cfRule type="cellIs" dxfId="173" priority="660" stopIfTrue="1" operator="equal">
      <formula>"DOM"</formula>
    </cfRule>
    <cfRule type="containsText" dxfId="172" priority="661" stopIfTrue="1" operator="containsText" text="SÁB">
      <formula>NOT(ISERROR(SEARCH("SÁB",Z98)))</formula>
    </cfRule>
  </conditionalFormatting>
  <conditionalFormatting sqref="Z106:AA106">
    <cfRule type="cellIs" dxfId="171" priority="140" stopIfTrue="1" operator="equal">
      <formula>"DOM"</formula>
    </cfRule>
    <cfRule type="containsText" dxfId="170" priority="141" stopIfTrue="1" operator="containsText" text="SÁB">
      <formula>NOT(ISERROR(SEARCH("SÁB",Z106)))</formula>
    </cfRule>
  </conditionalFormatting>
  <conditionalFormatting sqref="Z15:AC15">
    <cfRule type="cellIs" dxfId="169" priority="3346" stopIfTrue="1" operator="equal">
      <formula>"DOM"</formula>
    </cfRule>
  </conditionalFormatting>
  <conditionalFormatting sqref="Z27:AC27">
    <cfRule type="cellIs" dxfId="168" priority="3050" stopIfTrue="1" operator="equal">
      <formula>"DOM"</formula>
    </cfRule>
  </conditionalFormatting>
  <conditionalFormatting sqref="Z74:AC74">
    <cfRule type="cellIs" dxfId="167" priority="2130" stopIfTrue="1" operator="equal">
      <formula>"DOM"</formula>
    </cfRule>
  </conditionalFormatting>
  <conditionalFormatting sqref="Z102:AC102">
    <cfRule type="cellIs" dxfId="166" priority="243" stopIfTrue="1" operator="equal">
      <formula>"DOM"</formula>
    </cfRule>
  </conditionalFormatting>
  <conditionalFormatting sqref="AA3">
    <cfRule type="containsText" dxfId="165" priority="3688" stopIfTrue="1" operator="containsText" text="SÁB">
      <formula>NOT(ISERROR(SEARCH("SÁB",AA3)))</formula>
    </cfRule>
  </conditionalFormatting>
  <conditionalFormatting sqref="AA7">
    <cfRule type="containsText" dxfId="164" priority="3586" stopIfTrue="1" operator="containsText" text="SÁB">
      <formula>NOT(ISERROR(SEARCH("SÁB",AA7)))</formula>
    </cfRule>
  </conditionalFormatting>
  <conditionalFormatting sqref="AA62">
    <cfRule type="containsText" dxfId="163" priority="2442" stopIfTrue="1" operator="containsText" text="SÁB">
      <formula>NOT(ISERROR(SEARCH("SÁB",AA62)))</formula>
    </cfRule>
  </conditionalFormatting>
  <conditionalFormatting sqref="AA66">
    <cfRule type="containsText" dxfId="162" priority="2336" stopIfTrue="1" operator="containsText" text="SÁB">
      <formula>NOT(ISERROR(SEARCH("SÁB",AA66)))</formula>
    </cfRule>
  </conditionalFormatting>
  <conditionalFormatting sqref="AA78">
    <cfRule type="containsText" dxfId="161" priority="2042" stopIfTrue="1" operator="containsText" text="SÁB">
      <formula>NOT(ISERROR(SEARCH("SÁB",AA78)))</formula>
    </cfRule>
  </conditionalFormatting>
  <conditionalFormatting sqref="AA86">
    <cfRule type="containsText" dxfId="160" priority="1104" stopIfTrue="1" operator="containsText" text="SÁB">
      <formula>NOT(ISERROR(SEARCH("SÁB",AA86)))</formula>
    </cfRule>
  </conditionalFormatting>
  <conditionalFormatting sqref="AA98">
    <cfRule type="cellIs" dxfId="159" priority="332" stopIfTrue="1" operator="equal">
      <formula>"DOM"</formula>
    </cfRule>
    <cfRule type="containsText" dxfId="158" priority="335" stopIfTrue="1" operator="containsText" text="SÁB">
      <formula>NOT(ISERROR(SEARCH("SÁB",AA98)))</formula>
    </cfRule>
  </conditionalFormatting>
  <conditionalFormatting sqref="AA11:AB11">
    <cfRule type="containsText" dxfId="157" priority="3485" stopIfTrue="1" operator="containsText" text="SÁB">
      <formula>NOT(ISERROR(SEARCH("SÁB",AA11)))</formula>
    </cfRule>
    <cfRule type="cellIs" dxfId="156" priority="3484" stopIfTrue="1" operator="equal">
      <formula>"DOM"</formula>
    </cfRule>
  </conditionalFormatting>
  <conditionalFormatting sqref="AA19:AB19">
    <cfRule type="cellIs" dxfId="155" priority="3251" stopIfTrue="1" operator="equal">
      <formula>"DOM"</formula>
    </cfRule>
    <cfRule type="containsText" dxfId="154" priority="3252" stopIfTrue="1" operator="containsText" text="SÁB">
      <formula>NOT(ISERROR(SEARCH("SÁB",AA19)))</formula>
    </cfRule>
  </conditionalFormatting>
  <conditionalFormatting sqref="AA23:AB23">
    <cfRule type="cellIs" dxfId="153" priority="3152" stopIfTrue="1" operator="equal">
      <formula>"DOM"</formula>
    </cfRule>
    <cfRule type="containsText" dxfId="152" priority="3153" stopIfTrue="1" operator="containsText" text="SÁB">
      <formula>NOT(ISERROR(SEARCH("SÁB",AA23)))</formula>
    </cfRule>
  </conditionalFormatting>
  <conditionalFormatting sqref="AA31:AB31">
    <cfRule type="containsText" dxfId="151" priority="2958" stopIfTrue="1" operator="containsText" text="SÁB">
      <formula>NOT(ISERROR(SEARCH("SÁB",AA31)))</formula>
    </cfRule>
    <cfRule type="cellIs" dxfId="150" priority="2957" stopIfTrue="1" operator="equal">
      <formula>"DOM"</formula>
    </cfRule>
  </conditionalFormatting>
  <conditionalFormatting sqref="AA70:AB70">
    <cfRule type="containsText" dxfId="149" priority="2231" stopIfTrue="1" operator="containsText" text="SÁB">
      <formula>NOT(ISERROR(SEARCH("SÁB",AA70)))</formula>
    </cfRule>
    <cfRule type="cellIs" dxfId="148" priority="2230" stopIfTrue="1" operator="equal">
      <formula>"DOM"</formula>
    </cfRule>
  </conditionalFormatting>
  <conditionalFormatting sqref="AA82:AB82">
    <cfRule type="cellIs" dxfId="147" priority="1317" stopIfTrue="1" operator="equal">
      <formula>"DOM"</formula>
    </cfRule>
    <cfRule type="containsText" dxfId="146" priority="1318" stopIfTrue="1" operator="containsText" text="SÁB">
      <formula>NOT(ISERROR(SEARCH("SÁB",AA82)))</formula>
    </cfRule>
  </conditionalFormatting>
  <conditionalFormatting sqref="AA90:AB90">
    <cfRule type="cellIs" dxfId="145" priority="986" stopIfTrue="1" operator="equal">
      <formula>"DOM"</formula>
    </cfRule>
    <cfRule type="containsText" dxfId="144" priority="987" stopIfTrue="1" operator="containsText" text="SÁB">
      <formula>NOT(ISERROR(SEARCH("SÁB",AA90)))</formula>
    </cfRule>
  </conditionalFormatting>
  <conditionalFormatting sqref="AA94:AB94">
    <cfRule type="cellIs" dxfId="143" priority="868" stopIfTrue="1" operator="equal">
      <formula>"DOM"</formula>
    </cfRule>
    <cfRule type="containsText" dxfId="142" priority="869" stopIfTrue="1" operator="containsText" text="SÁB">
      <formula>NOT(ISERROR(SEARCH("SÁB",AA94)))</formula>
    </cfRule>
  </conditionalFormatting>
  <conditionalFormatting sqref="AA98:AB98">
    <cfRule type="containsText" dxfId="141" priority="657" stopIfTrue="1" operator="containsText" text="SÁB">
      <formula>NOT(ISERROR(SEARCH("SÁB",AA98)))</formula>
    </cfRule>
    <cfRule type="cellIs" dxfId="140" priority="656" stopIfTrue="1" operator="equal">
      <formula>"DOM"</formula>
    </cfRule>
  </conditionalFormatting>
  <conditionalFormatting sqref="AA106:AB106">
    <cfRule type="cellIs" dxfId="139" priority="136" stopIfTrue="1" operator="equal">
      <formula>"DOM"</formula>
    </cfRule>
    <cfRule type="containsText" dxfId="138" priority="137" stopIfTrue="1" operator="containsText" text="SÁB">
      <formula>NOT(ISERROR(SEARCH("SÁB",AA106)))</formula>
    </cfRule>
  </conditionalFormatting>
  <conditionalFormatting sqref="AA82:AC82">
    <cfRule type="cellIs" dxfId="137" priority="1190" stopIfTrue="1" operator="equal">
      <formula>"DOM"</formula>
    </cfRule>
  </conditionalFormatting>
  <conditionalFormatting sqref="AA94:AC94">
    <cfRule type="cellIs" dxfId="136" priority="751" stopIfTrue="1" operator="equal">
      <formula>"DOM"</formula>
    </cfRule>
  </conditionalFormatting>
  <conditionalFormatting sqref="AA98:AC98">
    <cfRule type="cellIs" dxfId="135" priority="539" stopIfTrue="1" operator="equal">
      <formula>"DOM"</formula>
    </cfRule>
  </conditionalFormatting>
  <conditionalFormatting sqref="AA106:AC106">
    <cfRule type="cellIs" dxfId="134" priority="19" stopIfTrue="1" operator="equal">
      <formula>"DOM"</formula>
    </cfRule>
  </conditionalFormatting>
  <conditionalFormatting sqref="AA3:AD3">
    <cfRule type="cellIs" dxfId="133" priority="3666" stopIfTrue="1" operator="equal">
      <formula>"DOM"</formula>
    </cfRule>
  </conditionalFormatting>
  <conditionalFormatting sqref="AA15:AD15">
    <cfRule type="cellIs" dxfId="132" priority="3340" stopIfTrue="1" operator="equal">
      <formula>"DOM"</formula>
    </cfRule>
  </conditionalFormatting>
  <conditionalFormatting sqref="AA62:AD62">
    <cfRule type="cellIs" dxfId="131" priority="2420" stopIfTrue="1" operator="equal">
      <formula>"DOM"</formula>
    </cfRule>
  </conditionalFormatting>
  <conditionalFormatting sqref="AA74:AD74">
    <cfRule type="cellIs" dxfId="130" priority="2124" stopIfTrue="1" operator="equal">
      <formula>"DOM"</formula>
    </cfRule>
  </conditionalFormatting>
  <conditionalFormatting sqref="AA102:AD102">
    <cfRule type="cellIs" dxfId="129" priority="237" stopIfTrue="1" operator="equal">
      <formula>"DOM"</formula>
    </cfRule>
  </conditionalFormatting>
  <conditionalFormatting sqref="AB23">
    <cfRule type="containsText" dxfId="128" priority="3151" stopIfTrue="1" operator="containsText" text="SÁB">
      <formula>NOT(ISERROR(SEARCH("SÁB",AB23)))</formula>
    </cfRule>
  </conditionalFormatting>
  <conditionalFormatting sqref="AB27">
    <cfRule type="containsText" dxfId="127" priority="3055" stopIfTrue="1" operator="containsText" text="SÁB">
      <formula>NOT(ISERROR(SEARCH("SÁB",AB27)))</formula>
    </cfRule>
  </conditionalFormatting>
  <conditionalFormatting sqref="AB82">
    <cfRule type="containsText" dxfId="126" priority="1194" stopIfTrue="1" operator="containsText" text="SÁB">
      <formula>NOT(ISERROR(SEARCH("SÁB",AB82)))</formula>
    </cfRule>
    <cfRule type="containsText" dxfId="125" priority="1316" stopIfTrue="1" operator="containsText" text="SÁB">
      <formula>NOT(ISERROR(SEARCH("SÁB",AB82)))</formula>
    </cfRule>
  </conditionalFormatting>
  <conditionalFormatting sqref="AB90">
    <cfRule type="containsText" dxfId="124" priority="985" stopIfTrue="1" operator="containsText" text="SÁB">
      <formula>NOT(ISERROR(SEARCH("SÁB",AB90)))</formula>
    </cfRule>
  </conditionalFormatting>
  <conditionalFormatting sqref="AB94">
    <cfRule type="containsText" dxfId="123" priority="867" stopIfTrue="1" operator="containsText" text="SÁB">
      <formula>NOT(ISERROR(SEARCH("SÁB",AB94)))</formula>
    </cfRule>
    <cfRule type="containsText" dxfId="122" priority="755" stopIfTrue="1" operator="containsText" text="SÁB">
      <formula>NOT(ISERROR(SEARCH("SÁB",AB94)))</formula>
    </cfRule>
  </conditionalFormatting>
  <conditionalFormatting sqref="AB98">
    <cfRule type="containsText" dxfId="121" priority="543" stopIfTrue="1" operator="containsText" text="SÁB">
      <formula>NOT(ISERROR(SEARCH("SÁB",AB98)))</formula>
    </cfRule>
    <cfRule type="containsText" dxfId="120" priority="655" stopIfTrue="1" operator="containsText" text="SÁB">
      <formula>NOT(ISERROR(SEARCH("SÁB",AB98)))</formula>
    </cfRule>
  </conditionalFormatting>
  <conditionalFormatting sqref="AB106">
    <cfRule type="containsText" dxfId="119" priority="23" stopIfTrue="1" operator="containsText" text="SÁB">
      <formula>NOT(ISERROR(SEARCH("SÁB",AB106)))</formula>
    </cfRule>
    <cfRule type="containsText" dxfId="118" priority="135" stopIfTrue="1" operator="containsText" text="SÁB">
      <formula>NOT(ISERROR(SEARCH("SÁB",AB106)))</formula>
    </cfRule>
  </conditionalFormatting>
  <conditionalFormatting sqref="AB7:AC7">
    <cfRule type="cellIs" dxfId="117" priority="3575" stopIfTrue="1" operator="equal">
      <formula>"DOM"</formula>
    </cfRule>
    <cfRule type="containsText" dxfId="116" priority="3576" stopIfTrue="1" operator="containsText" text="SÁB">
      <formula>NOT(ISERROR(SEARCH("SÁB",AB7)))</formula>
    </cfRule>
  </conditionalFormatting>
  <conditionalFormatting sqref="AB11:AC11">
    <cfRule type="containsText" dxfId="115" priority="3481" stopIfTrue="1" operator="containsText" text="SÁB">
      <formula>NOT(ISERROR(SEARCH("SÁB",AB11)))</formula>
    </cfRule>
    <cfRule type="cellIs" dxfId="114" priority="3480" stopIfTrue="1" operator="equal">
      <formula>"DOM"</formula>
    </cfRule>
  </conditionalFormatting>
  <conditionalFormatting sqref="AB19:AC19">
    <cfRule type="cellIs" dxfId="113" priority="3247" stopIfTrue="1" operator="equal">
      <formula>"DOM"</formula>
    </cfRule>
    <cfRule type="containsText" dxfId="112" priority="3248" stopIfTrue="1" operator="containsText" text="SÁB">
      <formula>NOT(ISERROR(SEARCH("SÁB",AB19)))</formula>
    </cfRule>
  </conditionalFormatting>
  <conditionalFormatting sqref="AB31:AC31">
    <cfRule type="cellIs" dxfId="111" priority="2953" stopIfTrue="1" operator="equal">
      <formula>"DOM"</formula>
    </cfRule>
    <cfRule type="containsText" dxfId="110" priority="2954" stopIfTrue="1" operator="containsText" text="SÁB">
      <formula>NOT(ISERROR(SEARCH("SÁB",AB31)))</formula>
    </cfRule>
  </conditionalFormatting>
  <conditionalFormatting sqref="AB66:AC66">
    <cfRule type="containsText" dxfId="109" priority="2326" stopIfTrue="1" operator="containsText" text="SÁB">
      <formula>NOT(ISERROR(SEARCH("SÁB",AB66)))</formula>
    </cfRule>
    <cfRule type="cellIs" dxfId="108" priority="2325" stopIfTrue="1" operator="equal">
      <formula>"DOM"</formula>
    </cfRule>
  </conditionalFormatting>
  <conditionalFormatting sqref="AB70:AC70">
    <cfRule type="cellIs" dxfId="107" priority="2226" stopIfTrue="1" operator="equal">
      <formula>"DOM"</formula>
    </cfRule>
    <cfRule type="containsText" dxfId="106" priority="2227" stopIfTrue="1" operator="containsText" text="SÁB">
      <formula>NOT(ISERROR(SEARCH("SÁB",AB70)))</formula>
    </cfRule>
  </conditionalFormatting>
  <conditionalFormatting sqref="AB78:AC78">
    <cfRule type="cellIs" dxfId="105" priority="2031" stopIfTrue="1" operator="equal">
      <formula>"DOM"</formula>
    </cfRule>
    <cfRule type="containsText" dxfId="104" priority="2032" stopIfTrue="1" operator="containsText" text="SÁB">
      <formula>NOT(ISERROR(SEARCH("SÁB",AB78)))</formula>
    </cfRule>
  </conditionalFormatting>
  <conditionalFormatting sqref="AB86:AC86">
    <cfRule type="containsText" dxfId="103" priority="1094" stopIfTrue="1" operator="containsText" text="SÁB">
      <formula>NOT(ISERROR(SEARCH("SÁB",AB86)))</formula>
    </cfRule>
    <cfRule type="cellIs" dxfId="102" priority="1093" stopIfTrue="1" operator="equal">
      <formula>"DOM"</formula>
    </cfRule>
  </conditionalFormatting>
  <conditionalFormatting sqref="AB3:AE3">
    <cfRule type="cellIs" dxfId="101" priority="3660" stopIfTrue="1" operator="equal">
      <formula>"DOM"</formula>
    </cfRule>
  </conditionalFormatting>
  <conditionalFormatting sqref="AB23:AE23">
    <cfRule type="cellIs" dxfId="100" priority="3129" stopIfTrue="1" operator="equal">
      <formula>"DOM"</formula>
    </cfRule>
  </conditionalFormatting>
  <conditionalFormatting sqref="AB62:AE62">
    <cfRule type="cellIs" dxfId="99" priority="2414" stopIfTrue="1" operator="equal">
      <formula>"DOM"</formula>
    </cfRule>
  </conditionalFormatting>
  <conditionalFormatting sqref="AB90:AE90">
    <cfRule type="cellIs" dxfId="98" priority="966" stopIfTrue="1" operator="equal">
      <formula>"DOM"</formula>
    </cfRule>
  </conditionalFormatting>
  <conditionalFormatting sqref="AC11">
    <cfRule type="containsText" dxfId="97" priority="3479" stopIfTrue="1" operator="containsText" text="SÁB">
      <formula>NOT(ISERROR(SEARCH("SÁB",AC11)))</formula>
    </cfRule>
  </conditionalFormatting>
  <conditionalFormatting sqref="AC15">
    <cfRule type="containsText" dxfId="96" priority="3345" stopIfTrue="1" operator="containsText" text="SÁB">
      <formula>NOT(ISERROR(SEARCH("SÁB",AC15)))</formula>
    </cfRule>
  </conditionalFormatting>
  <conditionalFormatting sqref="AC70">
    <cfRule type="containsText" dxfId="95" priority="2225" stopIfTrue="1" operator="containsText" text="SÁB">
      <formula>NOT(ISERROR(SEARCH("SÁB",AC70)))</formula>
    </cfRule>
  </conditionalFormatting>
  <conditionalFormatting sqref="AC74">
    <cfRule type="containsText" dxfId="94" priority="2129" stopIfTrue="1" operator="containsText" text="SÁB">
      <formula>NOT(ISERROR(SEARCH("SÁB",AC74)))</formula>
    </cfRule>
  </conditionalFormatting>
  <conditionalFormatting sqref="AC94">
    <cfRule type="containsText" dxfId="93" priority="750" stopIfTrue="1" operator="containsText" text="SÁB">
      <formula>NOT(ISERROR(SEARCH("SÁB",AC94)))</formula>
    </cfRule>
  </conditionalFormatting>
  <conditionalFormatting sqref="AC98">
    <cfRule type="containsText" dxfId="92" priority="538" stopIfTrue="1" operator="containsText" text="SÁB">
      <formula>NOT(ISERROR(SEARCH("SÁB",AC98)))</formula>
    </cfRule>
  </conditionalFormatting>
  <conditionalFormatting sqref="AC102">
    <cfRule type="containsText" dxfId="91" priority="242" stopIfTrue="1" operator="containsText" text="SÁB">
      <formula>NOT(ISERROR(SEARCH("SÁB",AC102)))</formula>
    </cfRule>
  </conditionalFormatting>
  <conditionalFormatting sqref="AC106">
    <cfRule type="containsText" dxfId="90" priority="18" stopIfTrue="1" operator="containsText" text="SÁB">
      <formula>NOT(ISERROR(SEARCH("SÁB",AC106)))</formula>
    </cfRule>
  </conditionalFormatting>
  <conditionalFormatting sqref="AC27:AD27">
    <cfRule type="containsText" dxfId="89" priority="3045" stopIfTrue="1" operator="containsText" text="SÁB">
      <formula>NOT(ISERROR(SEARCH("SÁB",AC27)))</formula>
    </cfRule>
    <cfRule type="cellIs" dxfId="88" priority="3044" stopIfTrue="1" operator="equal">
      <formula>"DOM"</formula>
    </cfRule>
  </conditionalFormatting>
  <conditionalFormatting sqref="AC31:AD31">
    <cfRule type="containsText" dxfId="87" priority="2950" stopIfTrue="1" operator="containsText" text="SÁB">
      <formula>NOT(ISERROR(SEARCH("SÁB",AC31)))</formula>
    </cfRule>
    <cfRule type="cellIs" dxfId="86" priority="2949" stopIfTrue="1" operator="equal">
      <formula>"DOM"</formula>
    </cfRule>
  </conditionalFormatting>
  <conditionalFormatting sqref="AC66:AD66">
    <cfRule type="containsText" dxfId="85" priority="2322" stopIfTrue="1" operator="containsText" text="SÁB">
      <formula>NOT(ISERROR(SEARCH("SÁB",AC66)))</formula>
    </cfRule>
    <cfRule type="cellIs" dxfId="84" priority="2321" stopIfTrue="1" operator="equal">
      <formula>"DOM"</formula>
    </cfRule>
  </conditionalFormatting>
  <conditionalFormatting sqref="AC78:AD78">
    <cfRule type="containsText" dxfId="83" priority="2028" stopIfTrue="1" operator="containsText" text="SÁB">
      <formula>NOT(ISERROR(SEARCH("SÁB",AC78)))</formula>
    </cfRule>
    <cfRule type="cellIs" dxfId="82" priority="2027" stopIfTrue="1" operator="equal">
      <formula>"DOM"</formula>
    </cfRule>
  </conditionalFormatting>
  <conditionalFormatting sqref="AC82:AD82">
    <cfRule type="cellIs" dxfId="81" priority="1184" stopIfTrue="1" operator="equal">
      <formula>"DOM"</formula>
    </cfRule>
    <cfRule type="containsText" dxfId="80" priority="1185" stopIfTrue="1" operator="containsText" text="SÁB">
      <formula>NOT(ISERROR(SEARCH("SÁB",AC82)))</formula>
    </cfRule>
  </conditionalFormatting>
  <conditionalFormatting sqref="AC86:AD86">
    <cfRule type="cellIs" dxfId="79" priority="1089" stopIfTrue="1" operator="equal">
      <formula>"DOM"</formula>
    </cfRule>
    <cfRule type="containsText" dxfId="78" priority="1090" stopIfTrue="1" operator="containsText" text="SÁB">
      <formula>NOT(ISERROR(SEARCH("SÁB",AC86)))</formula>
    </cfRule>
  </conditionalFormatting>
  <conditionalFormatting sqref="AC7:AE7">
    <cfRule type="containsText" dxfId="77" priority="3572" stopIfTrue="1" operator="containsText" text="SÁB">
      <formula>NOT(ISERROR(SEARCH("SÁB",AC7)))</formula>
    </cfRule>
    <cfRule type="cellIs" dxfId="76" priority="3571" stopIfTrue="1" operator="equal">
      <formula>"DOM"</formula>
    </cfRule>
  </conditionalFormatting>
  <conditionalFormatting sqref="AC11:AE11">
    <cfRule type="cellIs" dxfId="75" priority="3458" stopIfTrue="1" operator="equal">
      <formula>"DOM"</formula>
    </cfRule>
  </conditionalFormatting>
  <conditionalFormatting sqref="AC19:AE19">
    <cfRule type="containsText" dxfId="74" priority="3244" stopIfTrue="1" operator="containsText" text="SÁB">
      <formula>NOT(ISERROR(SEARCH("SÁB",AC19)))</formula>
    </cfRule>
    <cfRule type="cellIs" dxfId="73" priority="3243" stopIfTrue="1" operator="equal">
      <formula>"DOM"</formula>
    </cfRule>
  </conditionalFormatting>
  <conditionalFormatting sqref="AC23:AE23">
    <cfRule type="cellIs" dxfId="72" priority="3125" stopIfTrue="1" operator="equal">
      <formula>"DOM"</formula>
    </cfRule>
  </conditionalFormatting>
  <conditionalFormatting sqref="AC70:AF70">
    <cfRule type="cellIs" dxfId="71" priority="2203" stopIfTrue="1" operator="equal">
      <formula>"DOM"</formula>
    </cfRule>
  </conditionalFormatting>
  <conditionalFormatting sqref="AC94:AF94">
    <cfRule type="cellIs" dxfId="70" priority="745" stopIfTrue="1" operator="equal">
      <formula>"DOM"</formula>
    </cfRule>
  </conditionalFormatting>
  <conditionalFormatting sqref="AC106:AF106">
    <cfRule type="cellIs" dxfId="69" priority="1" stopIfTrue="1" operator="equal">
      <formula>"DOM"</formula>
    </cfRule>
  </conditionalFormatting>
  <conditionalFormatting sqref="AD3">
    <cfRule type="containsText" dxfId="68" priority="3665" stopIfTrue="1" operator="containsText" text="SÁB">
      <formula>NOT(ISERROR(SEARCH("SÁB",AD3)))</formula>
    </cfRule>
  </conditionalFormatting>
  <conditionalFormatting sqref="AD7">
    <cfRule type="containsText" dxfId="67" priority="3570" stopIfTrue="1" operator="containsText" text="SÁB">
      <formula>NOT(ISERROR(SEARCH("SÁB",AD7)))</formula>
    </cfRule>
    <cfRule type="cellIs" dxfId="66" priority="3569" stopIfTrue="1" operator="equal">
      <formula>"DOM"</formula>
    </cfRule>
  </conditionalFormatting>
  <conditionalFormatting sqref="AD19">
    <cfRule type="containsText" dxfId="65" priority="3242" stopIfTrue="1" operator="containsText" text="SÁB">
      <formula>NOT(ISERROR(SEARCH("SÁB",AD19)))</formula>
    </cfRule>
    <cfRule type="cellIs" dxfId="64" priority="3241" stopIfTrue="1" operator="equal">
      <formula>"DOM"</formula>
    </cfRule>
  </conditionalFormatting>
  <conditionalFormatting sqref="AD31">
    <cfRule type="containsText" dxfId="63" priority="2948" stopIfTrue="1" operator="containsText" text="SÁB">
      <formula>NOT(ISERROR(SEARCH("SÁB",AD31)))</formula>
    </cfRule>
  </conditionalFormatting>
  <conditionalFormatting sqref="AD62">
    <cfRule type="containsText" dxfId="62" priority="2419" stopIfTrue="1" operator="containsText" text="SÁB">
      <formula>NOT(ISERROR(SEARCH("SÁB",AD62)))</formula>
    </cfRule>
  </conditionalFormatting>
  <conditionalFormatting sqref="AD98">
    <cfRule type="containsText" dxfId="61" priority="331" stopIfTrue="1" operator="containsText" text="SÁB">
      <formula>NOT(ISERROR(SEARCH("SÁB",AD98)))</formula>
    </cfRule>
    <cfRule type="containsText" dxfId="60" priority="329" stopIfTrue="1" operator="containsText" text="SÁB">
      <formula>NOT(ISERROR(SEARCH("SÁB",AD98)))</formula>
    </cfRule>
    <cfRule type="cellIs" dxfId="59" priority="330" stopIfTrue="1" operator="equal">
      <formula>"DOM"</formula>
    </cfRule>
  </conditionalFormatting>
  <conditionalFormatting sqref="AD15:AE15">
    <cfRule type="containsText" dxfId="58" priority="3335" stopIfTrue="1" operator="containsText" text="SÁB">
      <formula>NOT(ISERROR(SEARCH("SÁB",AD15)))</formula>
    </cfRule>
    <cfRule type="cellIs" dxfId="57" priority="3334" stopIfTrue="1" operator="equal">
      <formula>"DOM"</formula>
    </cfRule>
  </conditionalFormatting>
  <conditionalFormatting sqref="AD27:AE27">
    <cfRule type="cellIs" dxfId="56" priority="3040" stopIfTrue="1" operator="equal">
      <formula>"DOM"</formula>
    </cfRule>
    <cfRule type="containsText" dxfId="55" priority="3041" stopIfTrue="1" operator="containsText" text="SÁB">
      <formula>NOT(ISERROR(SEARCH("SÁB",AD27)))</formula>
    </cfRule>
  </conditionalFormatting>
  <conditionalFormatting sqref="AD31:AE31">
    <cfRule type="cellIs" dxfId="54" priority="2934" stopIfTrue="1" operator="equal">
      <formula>"DOM"</formula>
    </cfRule>
  </conditionalFormatting>
  <conditionalFormatting sqref="AD74:AE74">
    <cfRule type="containsText" dxfId="53" priority="2119" stopIfTrue="1" operator="containsText" text="SÁB">
      <formula>NOT(ISERROR(SEARCH("SÁB",AD74)))</formula>
    </cfRule>
    <cfRule type="cellIs" dxfId="52" priority="2118" stopIfTrue="1" operator="equal">
      <formula>"DOM"</formula>
    </cfRule>
  </conditionalFormatting>
  <conditionalFormatting sqref="AD78:AE78">
    <cfRule type="containsText" dxfId="51" priority="2024" stopIfTrue="1" operator="containsText" text="SÁB">
      <formula>NOT(ISERROR(SEARCH("SÁB",AD78)))</formula>
    </cfRule>
    <cfRule type="cellIs" dxfId="50" priority="2023" stopIfTrue="1" operator="equal">
      <formula>"DOM"</formula>
    </cfRule>
  </conditionalFormatting>
  <conditionalFormatting sqref="AD82:AE82">
    <cfRule type="containsText" dxfId="49" priority="1181" stopIfTrue="1" operator="containsText" text="SÁB">
      <formula>NOT(ISERROR(SEARCH("SÁB",AD82)))</formula>
    </cfRule>
    <cfRule type="cellIs" dxfId="48" priority="1180" stopIfTrue="1" operator="equal">
      <formula>"DOM"</formula>
    </cfRule>
  </conditionalFormatting>
  <conditionalFormatting sqref="AD86:AE86">
    <cfRule type="containsText" dxfId="47" priority="1086" stopIfTrue="1" operator="containsText" text="SÁB">
      <formula>NOT(ISERROR(SEARCH("SÁB",AD86)))</formula>
    </cfRule>
    <cfRule type="cellIs" dxfId="46" priority="1085" stopIfTrue="1" operator="equal">
      <formula>"DOM"</formula>
    </cfRule>
  </conditionalFormatting>
  <conditionalFormatting sqref="AD102:AE102">
    <cfRule type="containsText" dxfId="45" priority="232" stopIfTrue="1" operator="containsText" text="SÁB">
      <formula>NOT(ISERROR(SEARCH("SÁB",AD102)))</formula>
    </cfRule>
    <cfRule type="cellIs" dxfId="44" priority="231" stopIfTrue="1" operator="equal">
      <formula>"DOM"</formula>
    </cfRule>
  </conditionalFormatting>
  <conditionalFormatting sqref="AD66:AF66">
    <cfRule type="cellIs" dxfId="43" priority="2317" stopIfTrue="1" operator="equal">
      <formula>"DOM"</formula>
    </cfRule>
    <cfRule type="containsText" dxfId="42" priority="2318" stopIfTrue="1" operator="containsText" text="SÁB">
      <formula>NOT(ISERROR(SEARCH("SÁB",AD66)))</formula>
    </cfRule>
  </conditionalFormatting>
  <conditionalFormatting sqref="AD70:AF70">
    <cfRule type="cellIs" dxfId="41" priority="2199" stopIfTrue="1" operator="equal">
      <formula>"DOM"</formula>
    </cfRule>
  </conditionalFormatting>
  <conditionalFormatting sqref="AD90:AF90">
    <cfRule type="cellIs" dxfId="40" priority="961" stopIfTrue="1" operator="equal">
      <formula>"DOM"</formula>
    </cfRule>
  </conditionalFormatting>
  <conditionalFormatting sqref="AD98:AF98">
    <cfRule type="cellIs" dxfId="39" priority="312" stopIfTrue="1" operator="equal">
      <formula>"DOM"</formula>
    </cfRule>
  </conditionalFormatting>
  <conditionalFormatting sqref="AE3">
    <cfRule type="containsText" dxfId="38" priority="3659" stopIfTrue="1" operator="containsText" text="SÁB">
      <formula>NOT(ISERROR(SEARCH("SÁB",AE3)))</formula>
    </cfRule>
    <cfRule type="cellIs" dxfId="37" priority="3656" stopIfTrue="1" operator="equal">
      <formula>"DOM"</formula>
    </cfRule>
  </conditionalFormatting>
  <conditionalFormatting sqref="AE7">
    <cfRule type="cellIs" dxfId="36" priority="3784" stopIfTrue="1" operator="equal">
      <formula>"DOM"</formula>
    </cfRule>
    <cfRule type="containsText" dxfId="35" priority="3785" stopIfTrue="1" operator="containsText" text="SÁB">
      <formula>NOT(ISERROR(SEARCH("SÁB",AE7)))</formula>
    </cfRule>
  </conditionalFormatting>
  <conditionalFormatting sqref="AE15">
    <cfRule type="containsText" dxfId="34" priority="3333" stopIfTrue="1" operator="containsText" text="SÁB">
      <formula>NOT(ISERROR(SEARCH("SÁB",AE15)))</formula>
    </cfRule>
    <cfRule type="cellIs" dxfId="33" priority="3332" stopIfTrue="1" operator="equal">
      <formula>"DOM"</formula>
    </cfRule>
  </conditionalFormatting>
  <conditionalFormatting sqref="AE19">
    <cfRule type="containsText" dxfId="32" priority="3781" stopIfTrue="1" operator="containsText" text="SÁB">
      <formula>NOT(ISERROR(SEARCH("SÁB",AE19)))</formula>
    </cfRule>
    <cfRule type="cellIs" dxfId="31" priority="3780" stopIfTrue="1" operator="equal">
      <formula>"DOM"</formula>
    </cfRule>
  </conditionalFormatting>
  <conditionalFormatting sqref="AE23">
    <cfRule type="containsText" dxfId="30" priority="3128" stopIfTrue="1" operator="containsText" text="SÁB">
      <formula>NOT(ISERROR(SEARCH("SÁB",AE23)))</formula>
    </cfRule>
  </conditionalFormatting>
  <conditionalFormatting sqref="AE27">
    <cfRule type="containsText" dxfId="29" priority="3039" stopIfTrue="1" operator="containsText" text="SÁB">
      <formula>NOT(ISERROR(SEARCH("SÁB",AE27)))</formula>
    </cfRule>
    <cfRule type="cellIs" dxfId="28" priority="3038" stopIfTrue="1" operator="equal">
      <formula>"DOM"</formula>
    </cfRule>
  </conditionalFormatting>
  <conditionalFormatting sqref="AE66">
    <cfRule type="containsText" dxfId="27" priority="2316" stopIfTrue="1" operator="containsText" text="SÁB">
      <formula>NOT(ISERROR(SEARCH("SÁB",AE66)))</formula>
    </cfRule>
    <cfRule type="cellIs" dxfId="26" priority="2315" stopIfTrue="1" operator="equal">
      <formula>"DOM"</formula>
    </cfRule>
  </conditionalFormatting>
  <conditionalFormatting sqref="AE78">
    <cfRule type="containsText" dxfId="25" priority="2022" stopIfTrue="1" operator="containsText" text="SÁB">
      <formula>NOT(ISERROR(SEARCH("SÁB",AE78)))</formula>
    </cfRule>
  </conditionalFormatting>
  <conditionalFormatting sqref="AE86">
    <cfRule type="containsText" dxfId="24" priority="1084" stopIfTrue="1" operator="containsText" text="SÁB">
      <formula>NOT(ISERROR(SEARCH("SÁB",AE86)))</formula>
    </cfRule>
  </conditionalFormatting>
  <conditionalFormatting sqref="AE90">
    <cfRule type="containsText" dxfId="23" priority="965" stopIfTrue="1" operator="containsText" text="SÁB">
      <formula>NOT(ISERROR(SEARCH("SÁB",AE90)))</formula>
    </cfRule>
  </conditionalFormatting>
  <conditionalFormatting sqref="AE62:AF62">
    <cfRule type="containsText" dxfId="22" priority="2409" stopIfTrue="1" operator="containsText" text="SÁB">
      <formula>NOT(ISERROR(SEARCH("SÁB",AE62)))</formula>
    </cfRule>
    <cfRule type="cellIs" dxfId="21" priority="2408" stopIfTrue="1" operator="equal">
      <formula>"DOM"</formula>
    </cfRule>
  </conditionalFormatting>
  <conditionalFormatting sqref="AE74:AF74">
    <cfRule type="cellIs" dxfId="20" priority="2114" stopIfTrue="1" operator="equal">
      <formula>"DOM"</formula>
    </cfRule>
    <cfRule type="containsText" dxfId="19" priority="2115" stopIfTrue="1" operator="containsText" text="SÁB">
      <formula>NOT(ISERROR(SEARCH("SÁB",AE74)))</formula>
    </cfRule>
  </conditionalFormatting>
  <conditionalFormatting sqref="AE78:AF78">
    <cfRule type="cellIs" dxfId="18" priority="2008" stopIfTrue="1" operator="equal">
      <formula>"DOM"</formula>
    </cfRule>
  </conditionalFormatting>
  <conditionalFormatting sqref="AE82:AF82">
    <cfRule type="containsText" dxfId="17" priority="1177" stopIfTrue="1" operator="containsText" text="SÁB">
      <formula>NOT(ISERROR(SEARCH("SÁB",AE82)))</formula>
    </cfRule>
    <cfRule type="cellIs" dxfId="16" priority="1176" stopIfTrue="1" operator="equal">
      <formula>"DOM"</formula>
    </cfRule>
  </conditionalFormatting>
  <conditionalFormatting sqref="AE86:AF86">
    <cfRule type="cellIs" dxfId="15" priority="1075" stopIfTrue="1" operator="equal">
      <formula>"DOM"</formula>
    </cfRule>
  </conditionalFormatting>
  <conditionalFormatting sqref="AE102:AF102">
    <cfRule type="containsText" dxfId="14" priority="228" stopIfTrue="1" operator="containsText" text="SÁB">
      <formula>NOT(ISERROR(SEARCH("SÁB",AE102)))</formula>
    </cfRule>
    <cfRule type="cellIs" dxfId="13" priority="227" stopIfTrue="1" operator="equal">
      <formula>"DOM"</formula>
    </cfRule>
  </conditionalFormatting>
  <conditionalFormatting sqref="AF62">
    <cfRule type="containsText" dxfId="12" priority="2407" stopIfTrue="1" operator="containsText" text="SÁB">
      <formula>NOT(ISERROR(SEARCH("SÁB",AF62)))</formula>
    </cfRule>
    <cfRule type="cellIs" dxfId="11" priority="2406" stopIfTrue="1" operator="equal">
      <formula>"DOM"</formula>
    </cfRule>
  </conditionalFormatting>
  <conditionalFormatting sqref="AF66">
    <cfRule type="cellIs" dxfId="10" priority="2534" stopIfTrue="1" operator="equal">
      <formula>"DOM"</formula>
    </cfRule>
    <cfRule type="containsText" dxfId="9" priority="2535" stopIfTrue="1" operator="containsText" text="SÁB">
      <formula>NOT(ISERROR(SEARCH("SÁB",AF66)))</formula>
    </cfRule>
  </conditionalFormatting>
  <conditionalFormatting sqref="AF70">
    <cfRule type="containsText" dxfId="8" priority="2202" stopIfTrue="1" operator="containsText" text="SÁB">
      <formula>NOT(ISERROR(SEARCH("SÁB",AF70)))</formula>
    </cfRule>
  </conditionalFormatting>
  <conditionalFormatting sqref="AF74">
    <cfRule type="cellIs" dxfId="7" priority="2112" stopIfTrue="1" operator="equal">
      <formula>"DOM"</formula>
    </cfRule>
    <cfRule type="containsText" dxfId="6" priority="2113" stopIfTrue="1" operator="containsText" text="SÁB">
      <formula>NOT(ISERROR(SEARCH("SÁB",AF74)))</formula>
    </cfRule>
  </conditionalFormatting>
  <conditionalFormatting sqref="AF82">
    <cfRule type="containsText" dxfId="5" priority="1175" stopIfTrue="1" operator="containsText" text="SÁB">
      <formula>NOT(ISERROR(SEARCH("SÁB",AF82)))</formula>
    </cfRule>
    <cfRule type="cellIs" dxfId="4" priority="1174" stopIfTrue="1" operator="equal">
      <formula>"DOM"</formula>
    </cfRule>
  </conditionalFormatting>
  <conditionalFormatting sqref="AF90">
    <cfRule type="containsText" dxfId="3" priority="960" stopIfTrue="1" operator="containsText" text="SÁB">
      <formula>NOT(ISERROR(SEARCH("SÁB",AF90)))</formula>
    </cfRule>
    <cfRule type="cellIs" dxfId="2" priority="957" stopIfTrue="1" operator="equal">
      <formula>"DOM"</formula>
    </cfRule>
  </conditionalFormatting>
  <conditionalFormatting sqref="AF102">
    <cfRule type="containsText" dxfId="1" priority="226" stopIfTrue="1" operator="containsText" text="SÁB">
      <formula>NOT(ISERROR(SEARCH("SÁB",AF102)))</formula>
    </cfRule>
    <cfRule type="cellIs" dxfId="0" priority="225" stopIfTrue="1" operator="equal">
      <formula>"DOM"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DESENVOL DE SISTEMA TEC.206.031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Otávio</cp:lastModifiedBy>
  <cp:revision/>
  <dcterms:created xsi:type="dcterms:W3CDTF">2025-05-08T22:43:18Z</dcterms:created>
  <dcterms:modified xsi:type="dcterms:W3CDTF">2026-04-01T20:31:17Z</dcterms:modified>
  <cp:category/>
  <cp:contentStatus/>
</cp:coreProperties>
</file>